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ted\Documents\"/>
    </mc:Choice>
  </mc:AlternateContent>
  <xr:revisionPtr revIDLastSave="0" documentId="13_ncr:1_{F91EAF70-0FC2-46B2-BCCA-F39343A3ACD1}" xr6:coauthVersionLast="47" xr6:coauthVersionMax="47" xr10:uidLastSave="{00000000-0000-0000-0000-000000000000}"/>
  <bookViews>
    <workbookView xWindow="-120" yWindow="-120" windowWidth="20730" windowHeight="11160" xr2:uid="{3015D64D-44F6-473D-A2E3-9045713B7C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8" i="1" l="1"/>
  <c r="B38" i="1"/>
  <c r="A39" i="1" s="1"/>
  <c r="B39" i="1" s="1"/>
  <c r="A40" i="1" s="1"/>
  <c r="B40" i="1" s="1"/>
  <c r="A41" i="1" s="1"/>
  <c r="B41" i="1" s="1"/>
  <c r="A42" i="1" s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AZ5" i="1"/>
  <c r="AZ4" i="1"/>
  <c r="AZ3" i="1"/>
  <c r="B3" i="1"/>
  <c r="A4" i="1" s="1"/>
  <c r="B4" i="1" s="1"/>
  <c r="A5" i="1" s="1"/>
  <c r="B5" i="1" s="1"/>
  <c r="A6" i="1" s="1"/>
  <c r="B6" i="1" s="1"/>
  <c r="A7" i="1" s="1"/>
  <c r="B7" i="1" s="1"/>
  <c r="A8" i="1" s="1"/>
  <c r="B8" i="1" s="1"/>
  <c r="A9" i="1" s="1"/>
  <c r="B9" i="1" s="1"/>
  <c r="A10" i="1" s="1"/>
  <c r="B10" i="1" s="1"/>
  <c r="A11" i="1" s="1"/>
  <c r="B11" i="1" s="1"/>
  <c r="A12" i="1" s="1"/>
  <c r="B12" i="1" s="1"/>
  <c r="A13" i="1" s="1"/>
  <c r="B13" i="1" s="1"/>
  <c r="A14" i="1" s="1"/>
  <c r="B14" i="1" s="1"/>
  <c r="A15" i="1" s="1"/>
  <c r="B15" i="1" s="1"/>
  <c r="A16" i="1" s="1"/>
  <c r="B16" i="1" s="1"/>
  <c r="A17" i="1" s="1"/>
  <c r="B17" i="1" s="1"/>
  <c r="A18" i="1" s="1"/>
  <c r="B18" i="1" s="1"/>
  <c r="A19" i="1" s="1"/>
  <c r="B19" i="1" s="1"/>
  <c r="A20" i="1" s="1"/>
  <c r="B20" i="1" s="1"/>
  <c r="A21" i="1" s="1"/>
  <c r="B21" i="1" s="1"/>
  <c r="A22" i="1" s="1"/>
  <c r="B22" i="1" s="1"/>
  <c r="A23" i="1" s="1"/>
  <c r="B23" i="1" s="1"/>
  <c r="A24" i="1" s="1"/>
  <c r="B24" i="1" s="1"/>
  <c r="A25" i="1" s="1"/>
  <c r="B25" i="1" s="1"/>
  <c r="A26" i="1" s="1"/>
  <c r="B26" i="1" s="1"/>
  <c r="A27" i="1" s="1"/>
  <c r="B27" i="1" s="1"/>
  <c r="A28" i="1" s="1"/>
  <c r="B28" i="1" s="1"/>
  <c r="A29" i="1" s="1"/>
  <c r="B29" i="1" s="1"/>
  <c r="A30" i="1" s="1"/>
  <c r="B30" i="1" s="1"/>
  <c r="A31" i="1" s="1"/>
  <c r="B31" i="1" s="1"/>
  <c r="A32" i="1" s="1"/>
  <c r="B32" i="1" s="1"/>
  <c r="A33" i="1" s="1"/>
  <c r="B33" i="1" s="1"/>
  <c r="A34" i="1" s="1"/>
  <c r="B34" i="1" s="1"/>
  <c r="A35" i="1" s="1"/>
  <c r="B35" i="1" s="1"/>
  <c r="A36" i="1" s="1"/>
  <c r="B36" i="1" s="1"/>
  <c r="A37" i="1" s="1"/>
  <c r="B37" i="1" s="1"/>
  <c r="B42" i="1" l="1"/>
</calcChain>
</file>

<file path=xl/sharedStrings.xml><?xml version="1.0" encoding="utf-8"?>
<sst xmlns="http://schemas.openxmlformats.org/spreadsheetml/2006/main" count="820" uniqueCount="90">
  <si>
    <t>VERB</t>
  </si>
  <si>
    <t>Perf</t>
  </si>
  <si>
    <t>Masc</t>
  </si>
  <si>
    <t>Sing</t>
  </si>
  <si>
    <t>NONE</t>
  </si>
  <si>
    <t>root</t>
  </si>
  <si>
    <t>X</t>
  </si>
  <si>
    <t>nsubj</t>
  </si>
  <si>
    <t>Imp</t>
  </si>
  <si>
    <t>NOUN</t>
  </si>
  <si>
    <t xml:space="preserve">Nom </t>
  </si>
  <si>
    <t>Def</t>
  </si>
  <si>
    <t>nmod</t>
  </si>
  <si>
    <t>Acc</t>
  </si>
  <si>
    <t>obj</t>
  </si>
  <si>
    <t>DET</t>
  </si>
  <si>
    <t>SD----MS1</t>
  </si>
  <si>
    <t>Nom</t>
  </si>
  <si>
    <t>det</t>
  </si>
  <si>
    <t>Cons</t>
  </si>
  <si>
    <t>Gen</t>
  </si>
  <si>
    <t>sing</t>
  </si>
  <si>
    <t>ADP</t>
  </si>
  <si>
    <t>Prep</t>
  </si>
  <si>
    <t>case</t>
  </si>
  <si>
    <t>obl</t>
  </si>
  <si>
    <t>obl:arg</t>
  </si>
  <si>
    <t>None</t>
  </si>
  <si>
    <t>SD----MS4-</t>
  </si>
  <si>
    <t>Dem</t>
  </si>
  <si>
    <t>nsubj:pass</t>
  </si>
  <si>
    <t>Ind</t>
  </si>
  <si>
    <t>adj</t>
  </si>
  <si>
    <t>amod</t>
  </si>
  <si>
    <t>xcomp</t>
  </si>
  <si>
    <t>Perf/IMP</t>
  </si>
  <si>
    <t>MASC/Fem</t>
  </si>
  <si>
    <t>Sing/Dual /Plur</t>
  </si>
  <si>
    <t>Word 1</t>
  </si>
  <si>
    <t>Def/InD</t>
  </si>
  <si>
    <t>Sing/Dual/Plur</t>
  </si>
  <si>
    <t>word2</t>
  </si>
  <si>
    <t>word3</t>
  </si>
  <si>
    <t>word4</t>
  </si>
  <si>
    <t>word5</t>
  </si>
  <si>
    <t>total of differences</t>
  </si>
  <si>
    <t xml:space="preserve">first raw </t>
  </si>
  <si>
    <t>last raw</t>
  </si>
  <si>
    <t>Sentence representation</t>
  </si>
  <si>
    <t xml:space="preserve">sentence example in arabic </t>
  </si>
  <si>
    <t xml:space="preserve">نجح التلميذ </t>
  </si>
  <si>
    <t xml:space="preserve">نجح أحمد </t>
  </si>
  <si>
    <t>دخل أحمد النزل</t>
  </si>
  <si>
    <t xml:space="preserve">دخل الرجل الحديقة </t>
  </si>
  <si>
    <t>نجح هذا التلميذ</t>
  </si>
  <si>
    <t xml:space="preserve">فاز قائد الجوالة </t>
  </si>
  <si>
    <t xml:space="preserve">دخل قائد الجوالة المنافسة </t>
  </si>
  <si>
    <t xml:space="preserve">ذهب الرجل إلى المنزل </t>
  </si>
  <si>
    <t xml:space="preserve">ذهب التلميذ الى الفصل </t>
  </si>
  <si>
    <t>تحيى مصر سوريا</t>
  </si>
  <si>
    <t xml:space="preserve">تتألق فتاة مصر </t>
  </si>
  <si>
    <t>سافر الرجل باريس</t>
  </si>
  <si>
    <t>فازت هذه البيضاء</t>
  </si>
  <si>
    <t xml:space="preserve">دخلت هذا المنزل </t>
  </si>
  <si>
    <t>سافر الرجل الى مصر</t>
  </si>
  <si>
    <t>سافر محمد إلى البلد</t>
  </si>
  <si>
    <t>سافرت نسمة إلى مصر</t>
  </si>
  <si>
    <t xml:space="preserve">دخل محمد هذا المركز </t>
  </si>
  <si>
    <t xml:space="preserve">شاهد أحمد صحراء مصر </t>
  </si>
  <si>
    <t xml:space="preserve">قابل هذا السائح المصريين </t>
  </si>
  <si>
    <t>استقبلت السويس صعايدة مصر</t>
  </si>
  <si>
    <t xml:space="preserve">اقتربت هذه الصحراء </t>
  </si>
  <si>
    <t xml:space="preserve">ذهب أحمد إلى سوهاج البلد </t>
  </si>
  <si>
    <t>ذهب محمد المصرى إلى إدفا</t>
  </si>
  <si>
    <t xml:space="preserve">نشر كتاب الحسناء اليوم </t>
  </si>
  <si>
    <t xml:space="preserve">استقبل االزوار  اليوم </t>
  </si>
  <si>
    <t xml:space="preserve">استقبل زوار المتحف اليوم </t>
  </si>
  <si>
    <t xml:space="preserve">استقبل زوار السويس اليوم </t>
  </si>
  <si>
    <t xml:space="preserve">اعتبرت الكتب جميلة </t>
  </si>
  <si>
    <t xml:space="preserve">اعتبرت منتصف البلدة حديقة </t>
  </si>
  <si>
    <t xml:space="preserve">اعتبر كتاب الحسناء مرجع </t>
  </si>
  <si>
    <t xml:space="preserve">اعتبرت حديقة السويس مزار </t>
  </si>
  <si>
    <t xml:space="preserve">دخل الرجل هذا المنزل </t>
  </si>
  <si>
    <t xml:space="preserve">دخل هذا الرجل هذا المنزل </t>
  </si>
  <si>
    <t>ذهب هذا الرجل الى حديقة النباتات</t>
  </si>
  <si>
    <t>سكن هذا المصرى هذا الفندق</t>
  </si>
  <si>
    <t xml:space="preserve">سكن هذا السورة سمنود المصرية </t>
  </si>
  <si>
    <t>التقيت هذه السورىة اليوم</t>
  </si>
  <si>
    <t>التقيت هذه السورىة الحسناء</t>
  </si>
  <si>
    <t>سكن هذا الرجل منزل الريف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</si>
</sst>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Arial"/>
      <family val="2"/>
    </font>
    <font>
      <b/>
      <sz val="12"/>
      <color rgb="FF212121"/>
      <name val="Courier New"/>
      <family val="3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3" borderId="0" xfId="0" applyFont="1" applyFill="1"/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2E20-15BF-41A9-B1DE-BA507CFE924E}">
  <dimension ref="A1:AZ42"/>
  <sheetViews>
    <sheetView tabSelected="1" zoomScale="57" zoomScaleNormal="57" workbookViewId="0">
      <selection activeCell="AV2" sqref="AV1:AW1048576"/>
    </sheetView>
  </sheetViews>
  <sheetFormatPr defaultRowHeight="15" x14ac:dyDescent="0.25"/>
  <cols>
    <col min="1" max="1" width="15.85546875" customWidth="1"/>
    <col min="2" max="2" width="31.140625" customWidth="1"/>
    <col min="3" max="3" width="51.42578125" customWidth="1"/>
    <col min="14" max="14" width="26.7109375" customWidth="1"/>
    <col min="37" max="37" width="12.42578125" customWidth="1"/>
    <col min="38" max="38" width="20.42578125" customWidth="1"/>
    <col min="39" max="39" width="26.140625" customWidth="1"/>
    <col min="40" max="40" width="15.85546875" customWidth="1"/>
    <col min="41" max="41" width="26.140625" customWidth="1"/>
    <col min="42" max="42" width="22.85546875" customWidth="1"/>
    <col min="43" max="43" width="21.42578125" customWidth="1"/>
    <col min="44" max="44" width="20.85546875" customWidth="1"/>
    <col min="45" max="45" width="18.28515625" customWidth="1"/>
    <col min="46" max="46" width="23.7109375" customWidth="1"/>
    <col min="47" max="47" width="22.85546875" customWidth="1"/>
    <col min="48" max="49" width="14.7109375" customWidth="1"/>
    <col min="50" max="50" width="24.7109375" customWidth="1"/>
    <col min="51" max="51" width="22.7109375" customWidth="1"/>
    <col min="52" max="52" width="49.85546875" customWidth="1"/>
  </cols>
  <sheetData>
    <row r="1" spans="1:52" s="6" customFormat="1" ht="69" customHeight="1" x14ac:dyDescent="0.5">
      <c r="A1" s="6" t="s">
        <v>46</v>
      </c>
      <c r="B1" s="6" t="s">
        <v>47</v>
      </c>
      <c r="C1" s="6" t="s">
        <v>49</v>
      </c>
      <c r="D1" s="7" t="s">
        <v>48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AK1" s="7" t="s">
        <v>38</v>
      </c>
      <c r="AL1" s="7"/>
      <c r="AM1" s="7"/>
      <c r="AN1" s="7" t="s">
        <v>41</v>
      </c>
      <c r="AO1" s="7"/>
      <c r="AP1" s="7"/>
      <c r="AQ1" s="7" t="s">
        <v>42</v>
      </c>
      <c r="AR1" s="7"/>
      <c r="AS1" s="7"/>
      <c r="AT1" s="7" t="s">
        <v>43</v>
      </c>
      <c r="AU1" s="7"/>
      <c r="AV1" s="7"/>
      <c r="AW1" s="7" t="s">
        <v>44</v>
      </c>
      <c r="AX1" s="7"/>
      <c r="AY1" s="7"/>
      <c r="AZ1" s="6" t="s">
        <v>45</v>
      </c>
    </row>
    <row r="2" spans="1:52" s="8" customFormat="1" ht="39.75" customHeight="1" x14ac:dyDescent="0.25">
      <c r="AK2" s="8" t="s">
        <v>35</v>
      </c>
      <c r="AL2" s="8" t="s">
        <v>36</v>
      </c>
      <c r="AM2" s="8" t="s">
        <v>37</v>
      </c>
      <c r="AN2" s="8" t="s">
        <v>39</v>
      </c>
      <c r="AO2" s="8" t="s">
        <v>40</v>
      </c>
      <c r="AP2" s="8" t="s">
        <v>36</v>
      </c>
      <c r="AQ2" s="8" t="s">
        <v>39</v>
      </c>
      <c r="AR2" s="8" t="s">
        <v>40</v>
      </c>
      <c r="AS2" s="8" t="s">
        <v>36</v>
      </c>
      <c r="AT2" s="8" t="s">
        <v>39</v>
      </c>
      <c r="AU2" s="8" t="s">
        <v>40</v>
      </c>
      <c r="AV2" s="8" t="s">
        <v>36</v>
      </c>
      <c r="AW2" s="8" t="s">
        <v>39</v>
      </c>
      <c r="AX2" s="8" t="s">
        <v>40</v>
      </c>
      <c r="AY2" s="8" t="s">
        <v>36</v>
      </c>
    </row>
    <row r="3" spans="1:52" ht="16.5" x14ac:dyDescent="0.3">
      <c r="A3" s="1">
        <v>1</v>
      </c>
      <c r="B3" s="1">
        <f t="shared" ref="B3:B42" si="0">SUM(A3,AZ3)-1</f>
        <v>12</v>
      </c>
      <c r="C3" s="1" t="s">
        <v>51</v>
      </c>
      <c r="D3" s="2" t="s">
        <v>0</v>
      </c>
      <c r="E3" s="2" t="s">
        <v>1</v>
      </c>
      <c r="F3" s="2" t="s">
        <v>2</v>
      </c>
      <c r="G3" s="2" t="s">
        <v>3</v>
      </c>
      <c r="H3" s="2" t="s">
        <v>4</v>
      </c>
      <c r="I3" s="2" t="s">
        <v>5</v>
      </c>
      <c r="J3" s="3" t="s">
        <v>6</v>
      </c>
      <c r="K3" s="4" t="s">
        <v>7</v>
      </c>
      <c r="L3" s="2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>
        <v>2</v>
      </c>
      <c r="AL3" s="1">
        <v>2</v>
      </c>
      <c r="AM3" s="1">
        <v>3</v>
      </c>
      <c r="AN3" s="1">
        <v>1</v>
      </c>
      <c r="AO3" s="1">
        <v>1</v>
      </c>
      <c r="AP3" s="1">
        <v>1</v>
      </c>
      <c r="AQ3" s="1">
        <v>1</v>
      </c>
      <c r="AR3" s="1">
        <v>1</v>
      </c>
      <c r="AS3" s="1">
        <v>1</v>
      </c>
      <c r="AT3" s="1">
        <v>1</v>
      </c>
      <c r="AU3" s="1">
        <v>1</v>
      </c>
      <c r="AV3" s="1">
        <v>1</v>
      </c>
      <c r="AW3" s="1">
        <v>1</v>
      </c>
      <c r="AX3" s="1">
        <v>1</v>
      </c>
      <c r="AY3" s="1">
        <v>1</v>
      </c>
      <c r="AZ3" s="1">
        <f>PRODUCT(AK3:AY3)</f>
        <v>12</v>
      </c>
    </row>
    <row r="4" spans="1:52" ht="15.75" x14ac:dyDescent="0.25">
      <c r="A4" s="1">
        <f>B3+1</f>
        <v>13</v>
      </c>
      <c r="B4" s="1">
        <f t="shared" si="0"/>
        <v>228</v>
      </c>
      <c r="C4" s="1" t="s">
        <v>50</v>
      </c>
      <c r="D4" s="2" t="s">
        <v>0</v>
      </c>
      <c r="E4" s="2" t="s">
        <v>8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9</v>
      </c>
      <c r="K4" s="2" t="s">
        <v>10</v>
      </c>
      <c r="L4" s="2" t="s">
        <v>11</v>
      </c>
      <c r="M4" s="2" t="s">
        <v>3</v>
      </c>
      <c r="N4" s="2" t="s">
        <v>7</v>
      </c>
      <c r="O4" s="2" t="s">
        <v>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>
        <v>2</v>
      </c>
      <c r="AL4" s="1">
        <v>2</v>
      </c>
      <c r="AM4" s="1">
        <v>3</v>
      </c>
      <c r="AN4" s="1">
        <v>3</v>
      </c>
      <c r="AO4" s="1">
        <v>2</v>
      </c>
      <c r="AP4" s="1">
        <v>3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f t="shared" ref="AZ4:AZ34" si="1">PRODUCT(AK4:AY4)</f>
        <v>216</v>
      </c>
    </row>
    <row r="5" spans="1:52" ht="15.75" x14ac:dyDescent="0.25">
      <c r="A5" s="1">
        <f>B4+1</f>
        <v>229</v>
      </c>
      <c r="B5" s="1">
        <f t="shared" si="0"/>
        <v>264</v>
      </c>
      <c r="C5" s="1" t="s">
        <v>52</v>
      </c>
      <c r="D5" s="2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2" t="s">
        <v>5</v>
      </c>
      <c r="J5" s="3" t="s">
        <v>6</v>
      </c>
      <c r="K5" s="3" t="s">
        <v>12</v>
      </c>
      <c r="L5" s="2" t="s">
        <v>4</v>
      </c>
      <c r="M5" s="2" t="s">
        <v>9</v>
      </c>
      <c r="N5" s="2" t="s">
        <v>13</v>
      </c>
      <c r="O5" s="2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>
        <v>2</v>
      </c>
      <c r="AL5" s="1">
        <v>2</v>
      </c>
      <c r="AM5" s="1">
        <v>3</v>
      </c>
      <c r="AN5" s="1">
        <v>3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f t="shared" si="1"/>
        <v>36</v>
      </c>
    </row>
    <row r="6" spans="1:52" ht="15.75" x14ac:dyDescent="0.25">
      <c r="A6" s="1">
        <f>B5+1</f>
        <v>265</v>
      </c>
      <c r="B6" s="1">
        <f t="shared" si="0"/>
        <v>912</v>
      </c>
      <c r="C6" s="1" t="s">
        <v>53</v>
      </c>
      <c r="D6" s="2" t="s">
        <v>0</v>
      </c>
      <c r="E6" s="2" t="s">
        <v>8</v>
      </c>
      <c r="F6" s="2" t="s">
        <v>2</v>
      </c>
      <c r="G6" s="2" t="s">
        <v>3</v>
      </c>
      <c r="H6" s="2" t="s">
        <v>4</v>
      </c>
      <c r="I6" s="2" t="s">
        <v>5</v>
      </c>
      <c r="J6" s="2" t="s">
        <v>9</v>
      </c>
      <c r="K6" s="2" t="s">
        <v>10</v>
      </c>
      <c r="L6" s="2" t="s">
        <v>11</v>
      </c>
      <c r="M6" s="2" t="s">
        <v>3</v>
      </c>
      <c r="N6" s="2" t="s">
        <v>7</v>
      </c>
      <c r="O6" s="2" t="s">
        <v>4</v>
      </c>
      <c r="P6" s="2" t="s">
        <v>9</v>
      </c>
      <c r="Q6" s="2" t="s">
        <v>13</v>
      </c>
      <c r="R6" s="2" t="s">
        <v>14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>
        <v>2</v>
      </c>
      <c r="AL6" s="1">
        <v>2</v>
      </c>
      <c r="AM6" s="1">
        <v>3</v>
      </c>
      <c r="AN6" s="1">
        <v>3</v>
      </c>
      <c r="AO6" s="1">
        <v>2</v>
      </c>
      <c r="AP6" s="1">
        <v>3</v>
      </c>
      <c r="AQ6" s="1">
        <v>3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f t="shared" si="1"/>
        <v>648</v>
      </c>
    </row>
    <row r="7" spans="1:52" ht="16.5" x14ac:dyDescent="0.3">
      <c r="A7" s="1">
        <f>B6+1</f>
        <v>913</v>
      </c>
      <c r="B7" s="1">
        <f t="shared" si="0"/>
        <v>4800</v>
      </c>
      <c r="C7" s="1" t="s">
        <v>54</v>
      </c>
      <c r="D7" s="3" t="s">
        <v>0</v>
      </c>
      <c r="E7" s="2" t="s">
        <v>1</v>
      </c>
      <c r="F7" s="2" t="s">
        <v>2</v>
      </c>
      <c r="G7" s="2" t="s">
        <v>3</v>
      </c>
      <c r="H7" s="2" t="s">
        <v>4</v>
      </c>
      <c r="I7" s="2" t="s">
        <v>5</v>
      </c>
      <c r="J7" s="3" t="s">
        <v>15</v>
      </c>
      <c r="K7" s="4" t="s">
        <v>16</v>
      </c>
      <c r="L7" s="3" t="s">
        <v>17</v>
      </c>
      <c r="M7" s="2" t="s">
        <v>2</v>
      </c>
      <c r="N7" s="2" t="s">
        <v>3</v>
      </c>
      <c r="O7" s="3" t="s">
        <v>18</v>
      </c>
      <c r="P7" s="3" t="s">
        <v>9</v>
      </c>
      <c r="Q7" s="2" t="s">
        <v>17</v>
      </c>
      <c r="R7" s="4" t="s">
        <v>11</v>
      </c>
      <c r="S7" s="2" t="s">
        <v>3</v>
      </c>
      <c r="T7" s="3" t="s">
        <v>7</v>
      </c>
      <c r="U7" s="2" t="s">
        <v>4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>
        <v>2</v>
      </c>
      <c r="AL7" s="1">
        <v>2</v>
      </c>
      <c r="AM7" s="1">
        <v>3</v>
      </c>
      <c r="AN7" s="1">
        <v>2</v>
      </c>
      <c r="AO7" s="1">
        <v>3</v>
      </c>
      <c r="AP7" s="1">
        <v>3</v>
      </c>
      <c r="AQ7" s="1">
        <v>3</v>
      </c>
      <c r="AR7" s="1">
        <v>3</v>
      </c>
      <c r="AS7" s="1">
        <v>2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f t="shared" si="1"/>
        <v>3888</v>
      </c>
    </row>
    <row r="8" spans="1:52" ht="16.5" x14ac:dyDescent="0.3">
      <c r="A8" s="1">
        <f>B7+1</f>
        <v>4801</v>
      </c>
      <c r="B8" s="1">
        <f t="shared" si="0"/>
        <v>6744</v>
      </c>
      <c r="C8" s="1" t="s">
        <v>55</v>
      </c>
      <c r="D8" s="3" t="s">
        <v>0</v>
      </c>
      <c r="E8" s="2" t="s">
        <v>8</v>
      </c>
      <c r="F8" s="2" t="s">
        <v>2</v>
      </c>
      <c r="G8" s="2" t="s">
        <v>3</v>
      </c>
      <c r="H8" s="2" t="s">
        <v>4</v>
      </c>
      <c r="I8" s="2" t="s">
        <v>5</v>
      </c>
      <c r="J8" s="4" t="s">
        <v>9</v>
      </c>
      <c r="K8" s="2" t="s">
        <v>17</v>
      </c>
      <c r="L8" s="4" t="s">
        <v>19</v>
      </c>
      <c r="M8" s="2" t="s">
        <v>3</v>
      </c>
      <c r="N8" s="3" t="s">
        <v>7</v>
      </c>
      <c r="O8" s="2" t="s">
        <v>4</v>
      </c>
      <c r="P8" s="3" t="s">
        <v>9</v>
      </c>
      <c r="Q8" s="2" t="s">
        <v>20</v>
      </c>
      <c r="R8" s="4" t="s">
        <v>11</v>
      </c>
      <c r="S8" s="4" t="s">
        <v>21</v>
      </c>
      <c r="T8" s="3" t="s">
        <v>12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>
        <v>2</v>
      </c>
      <c r="AL8" s="1">
        <v>2</v>
      </c>
      <c r="AM8" s="1">
        <v>3</v>
      </c>
      <c r="AN8" s="1">
        <v>3</v>
      </c>
      <c r="AO8" s="1">
        <v>3</v>
      </c>
      <c r="AP8" s="1">
        <v>3</v>
      </c>
      <c r="AQ8" s="1">
        <v>3</v>
      </c>
      <c r="AR8" s="1">
        <v>2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f t="shared" si="1"/>
        <v>1944</v>
      </c>
    </row>
    <row r="9" spans="1:52" ht="16.5" x14ac:dyDescent="0.3">
      <c r="A9" s="1">
        <f t="shared" ref="A9:A10" si="2">B8+1</f>
        <v>6745</v>
      </c>
      <c r="B9" s="1">
        <f t="shared" si="0"/>
        <v>12576</v>
      </c>
      <c r="C9" s="1" t="s">
        <v>56</v>
      </c>
      <c r="D9" s="3" t="s">
        <v>0</v>
      </c>
      <c r="E9" s="2" t="s">
        <v>1</v>
      </c>
      <c r="F9" s="2" t="s">
        <v>2</v>
      </c>
      <c r="G9" s="2" t="s">
        <v>3</v>
      </c>
      <c r="H9" s="2" t="s">
        <v>4</v>
      </c>
      <c r="I9" s="2" t="s">
        <v>5</v>
      </c>
      <c r="J9" s="4" t="s">
        <v>9</v>
      </c>
      <c r="K9" s="2" t="s">
        <v>17</v>
      </c>
      <c r="L9" s="4" t="s">
        <v>19</v>
      </c>
      <c r="M9" s="2" t="s">
        <v>3</v>
      </c>
      <c r="N9" s="3" t="s">
        <v>7</v>
      </c>
      <c r="O9" s="2" t="s">
        <v>4</v>
      </c>
      <c r="P9" s="3" t="s">
        <v>9</v>
      </c>
      <c r="Q9" s="2" t="s">
        <v>20</v>
      </c>
      <c r="R9" s="4" t="s">
        <v>11</v>
      </c>
      <c r="S9" s="4" t="s">
        <v>21</v>
      </c>
      <c r="T9" s="3" t="s">
        <v>12</v>
      </c>
      <c r="U9" s="2" t="s">
        <v>9</v>
      </c>
      <c r="V9" s="2" t="s">
        <v>13</v>
      </c>
      <c r="W9" s="2" t="s">
        <v>14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>
        <v>2</v>
      </c>
      <c r="AL9" s="1">
        <v>2</v>
      </c>
      <c r="AM9" s="1">
        <v>3</v>
      </c>
      <c r="AN9" s="1">
        <v>3</v>
      </c>
      <c r="AO9" s="1">
        <v>3</v>
      </c>
      <c r="AP9" s="1">
        <v>3</v>
      </c>
      <c r="AQ9" s="1">
        <v>3</v>
      </c>
      <c r="AR9" s="1">
        <v>2</v>
      </c>
      <c r="AS9" s="1">
        <v>3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f t="shared" si="1"/>
        <v>5832</v>
      </c>
    </row>
    <row r="10" spans="1:52" ht="16.5" x14ac:dyDescent="0.3">
      <c r="A10" s="1">
        <f t="shared" si="2"/>
        <v>12577</v>
      </c>
      <c r="B10" s="1">
        <f t="shared" si="0"/>
        <v>16464</v>
      </c>
      <c r="C10" s="1" t="s">
        <v>57</v>
      </c>
      <c r="D10" s="4" t="s">
        <v>0</v>
      </c>
      <c r="E10" s="2" t="s">
        <v>1</v>
      </c>
      <c r="F10" s="2" t="s">
        <v>2</v>
      </c>
      <c r="G10" s="2" t="s">
        <v>3</v>
      </c>
      <c r="H10" s="4" t="s">
        <v>4</v>
      </c>
      <c r="I10" s="4" t="s">
        <v>5</v>
      </c>
      <c r="J10" s="4" t="s">
        <v>9</v>
      </c>
      <c r="K10" s="4" t="s">
        <v>17</v>
      </c>
      <c r="L10" s="4" t="s">
        <v>11</v>
      </c>
      <c r="M10" s="2" t="s">
        <v>3</v>
      </c>
      <c r="N10" s="4" t="s">
        <v>7</v>
      </c>
      <c r="O10" s="2" t="s">
        <v>4</v>
      </c>
      <c r="P10" s="2" t="s">
        <v>22</v>
      </c>
      <c r="Q10" s="3" t="s">
        <v>23</v>
      </c>
      <c r="R10" s="3" t="s">
        <v>24</v>
      </c>
      <c r="S10" s="4" t="s">
        <v>9</v>
      </c>
      <c r="T10" s="4" t="s">
        <v>20</v>
      </c>
      <c r="U10" s="4" t="s">
        <v>11</v>
      </c>
      <c r="V10" s="2" t="s">
        <v>3</v>
      </c>
      <c r="W10" s="2" t="s">
        <v>25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>
        <v>2</v>
      </c>
      <c r="AL10" s="1">
        <v>2</v>
      </c>
      <c r="AM10" s="1">
        <v>3</v>
      </c>
      <c r="AN10" s="1">
        <v>2</v>
      </c>
      <c r="AO10" s="1">
        <v>3</v>
      </c>
      <c r="AP10" s="1">
        <v>3</v>
      </c>
      <c r="AQ10" s="1">
        <v>1</v>
      </c>
      <c r="AR10" s="1">
        <v>3</v>
      </c>
      <c r="AS10" s="1">
        <v>3</v>
      </c>
      <c r="AT10" s="1">
        <v>2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f t="shared" si="1"/>
        <v>3888</v>
      </c>
    </row>
    <row r="11" spans="1:52" ht="16.5" x14ac:dyDescent="0.3">
      <c r="A11" s="1">
        <f>B10+1</f>
        <v>16465</v>
      </c>
      <c r="B11" s="1">
        <f t="shared" si="0"/>
        <v>20352</v>
      </c>
      <c r="C11" s="1" t="s">
        <v>58</v>
      </c>
      <c r="D11" s="4" t="s">
        <v>0</v>
      </c>
      <c r="E11" s="2" t="s">
        <v>1</v>
      </c>
      <c r="F11" s="2" t="s">
        <v>2</v>
      </c>
      <c r="G11" s="2" t="s">
        <v>3</v>
      </c>
      <c r="H11" s="4" t="s">
        <v>4</v>
      </c>
      <c r="I11" s="4" t="s">
        <v>5</v>
      </c>
      <c r="J11" s="4" t="s">
        <v>9</v>
      </c>
      <c r="K11" s="4" t="s">
        <v>17</v>
      </c>
      <c r="L11" s="4" t="s">
        <v>11</v>
      </c>
      <c r="M11" s="2" t="s">
        <v>3</v>
      </c>
      <c r="N11" s="4" t="s">
        <v>7</v>
      </c>
      <c r="O11" s="2" t="s">
        <v>4</v>
      </c>
      <c r="P11" s="2" t="s">
        <v>22</v>
      </c>
      <c r="Q11" s="3" t="s">
        <v>23</v>
      </c>
      <c r="R11" s="3" t="s">
        <v>24</v>
      </c>
      <c r="S11" s="4" t="s">
        <v>9</v>
      </c>
      <c r="T11" s="4" t="s">
        <v>20</v>
      </c>
      <c r="U11" s="4" t="s">
        <v>11</v>
      </c>
      <c r="V11" s="2" t="s">
        <v>3</v>
      </c>
      <c r="W11" s="2" t="s">
        <v>26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>
        <v>2</v>
      </c>
      <c r="AL11" s="1">
        <v>2</v>
      </c>
      <c r="AM11" s="1">
        <v>3</v>
      </c>
      <c r="AN11" s="1">
        <v>2</v>
      </c>
      <c r="AO11" s="1">
        <v>3</v>
      </c>
      <c r="AP11" s="1">
        <v>3</v>
      </c>
      <c r="AQ11" s="1">
        <v>2</v>
      </c>
      <c r="AR11" s="1">
        <v>3</v>
      </c>
      <c r="AS11" s="1">
        <v>3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f t="shared" si="1"/>
        <v>3888</v>
      </c>
    </row>
    <row r="12" spans="1:52" ht="16.5" x14ac:dyDescent="0.3">
      <c r="A12" s="1">
        <f t="shared" ref="A12:A19" si="3">B11+1</f>
        <v>20353</v>
      </c>
      <c r="B12" s="1">
        <f t="shared" si="0"/>
        <v>20364</v>
      </c>
      <c r="C12" s="1" t="s">
        <v>59</v>
      </c>
      <c r="D12" s="4" t="s">
        <v>0</v>
      </c>
      <c r="E12" s="2" t="s">
        <v>8</v>
      </c>
      <c r="F12" s="2" t="s">
        <v>2</v>
      </c>
      <c r="G12" s="2" t="s">
        <v>3</v>
      </c>
      <c r="H12" s="2" t="s">
        <v>4</v>
      </c>
      <c r="I12" s="4" t="s">
        <v>5</v>
      </c>
      <c r="J12" s="4" t="s">
        <v>6</v>
      </c>
      <c r="K12" s="4" t="s">
        <v>12</v>
      </c>
      <c r="L12" s="2" t="s">
        <v>27</v>
      </c>
      <c r="M12" s="4" t="s">
        <v>6</v>
      </c>
      <c r="N12" s="2" t="s">
        <v>7</v>
      </c>
      <c r="O12" s="2" t="s">
        <v>27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>
        <v>2</v>
      </c>
      <c r="AL12" s="1">
        <v>2</v>
      </c>
      <c r="AM12" s="1">
        <v>3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f t="shared" si="1"/>
        <v>12</v>
      </c>
    </row>
    <row r="13" spans="1:52" ht="16.5" x14ac:dyDescent="0.3">
      <c r="A13" s="1">
        <f t="shared" si="3"/>
        <v>20365</v>
      </c>
      <c r="B13" s="1">
        <f t="shared" si="0"/>
        <v>20580</v>
      </c>
      <c r="C13" s="1" t="s">
        <v>61</v>
      </c>
      <c r="D13" s="4" t="s">
        <v>0</v>
      </c>
      <c r="E13" s="2" t="s">
        <v>8</v>
      </c>
      <c r="F13" s="2" t="s">
        <v>2</v>
      </c>
      <c r="G13" s="2" t="s">
        <v>3</v>
      </c>
      <c r="H13" s="2" t="s">
        <v>4</v>
      </c>
      <c r="I13" s="4" t="s">
        <v>5</v>
      </c>
      <c r="J13" s="4" t="s">
        <v>9</v>
      </c>
      <c r="K13" s="4" t="s">
        <v>17</v>
      </c>
      <c r="L13" s="4" t="s">
        <v>11</v>
      </c>
      <c r="M13" s="2" t="s">
        <v>3</v>
      </c>
      <c r="N13" s="2" t="s">
        <v>7</v>
      </c>
      <c r="O13" s="2" t="s">
        <v>4</v>
      </c>
      <c r="P13" s="4" t="s">
        <v>6</v>
      </c>
      <c r="Q13" s="2" t="s">
        <v>7</v>
      </c>
      <c r="R13" s="2" t="s">
        <v>4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>
        <v>2</v>
      </c>
      <c r="AL13" s="1">
        <v>2</v>
      </c>
      <c r="AM13" s="1">
        <v>3</v>
      </c>
      <c r="AN13" s="1">
        <v>2</v>
      </c>
      <c r="AO13" s="1">
        <v>3</v>
      </c>
      <c r="AP13" s="1">
        <v>3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f t="shared" si="1"/>
        <v>216</v>
      </c>
    </row>
    <row r="14" spans="1:52" ht="16.5" x14ac:dyDescent="0.3">
      <c r="A14" s="1">
        <f t="shared" si="3"/>
        <v>20581</v>
      </c>
      <c r="B14" s="1">
        <f t="shared" si="0"/>
        <v>20688</v>
      </c>
      <c r="C14" s="1" t="s">
        <v>60</v>
      </c>
      <c r="D14" s="4" t="s">
        <v>0</v>
      </c>
      <c r="E14" s="2" t="s">
        <v>8</v>
      </c>
      <c r="F14" s="2" t="s">
        <v>2</v>
      </c>
      <c r="G14" s="2" t="s">
        <v>3</v>
      </c>
      <c r="H14" s="2" t="s">
        <v>4</v>
      </c>
      <c r="I14" s="4" t="s">
        <v>5</v>
      </c>
      <c r="J14" s="4" t="s">
        <v>9</v>
      </c>
      <c r="K14" s="4" t="s">
        <v>17</v>
      </c>
      <c r="L14" s="4" t="s">
        <v>19</v>
      </c>
      <c r="M14" s="2" t="s">
        <v>3</v>
      </c>
      <c r="N14" s="2" t="s">
        <v>7</v>
      </c>
      <c r="O14" s="2" t="s">
        <v>4</v>
      </c>
      <c r="P14" s="4" t="s">
        <v>6</v>
      </c>
      <c r="Q14" s="2" t="s">
        <v>12</v>
      </c>
      <c r="R14" s="2" t="s">
        <v>4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>
        <v>2</v>
      </c>
      <c r="AL14" s="1">
        <v>2</v>
      </c>
      <c r="AM14" s="1">
        <v>3</v>
      </c>
      <c r="AN14" s="1">
        <v>1</v>
      </c>
      <c r="AO14" s="1">
        <v>3</v>
      </c>
      <c r="AP14" s="1">
        <v>3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f t="shared" si="1"/>
        <v>108</v>
      </c>
    </row>
    <row r="15" spans="1:52" ht="16.5" x14ac:dyDescent="0.3">
      <c r="A15" s="1">
        <f t="shared" si="3"/>
        <v>20689</v>
      </c>
      <c r="B15" s="1">
        <f t="shared" si="0"/>
        <v>20904</v>
      </c>
      <c r="C15" s="1" t="s">
        <v>62</v>
      </c>
      <c r="D15" s="4" t="s">
        <v>0</v>
      </c>
      <c r="E15" s="2" t="s">
        <v>8</v>
      </c>
      <c r="F15" s="2" t="s">
        <v>2</v>
      </c>
      <c r="G15" s="2" t="s">
        <v>3</v>
      </c>
      <c r="H15" s="2" t="s">
        <v>4</v>
      </c>
      <c r="I15" s="4" t="s">
        <v>5</v>
      </c>
      <c r="J15" s="3" t="s">
        <v>15</v>
      </c>
      <c r="K15" s="4" t="s">
        <v>16</v>
      </c>
      <c r="L15" s="3" t="s">
        <v>17</v>
      </c>
      <c r="M15" s="2" t="s">
        <v>2</v>
      </c>
      <c r="N15" s="2" t="s">
        <v>3</v>
      </c>
      <c r="O15" s="3" t="s">
        <v>18</v>
      </c>
      <c r="P15" s="3" t="s">
        <v>6</v>
      </c>
      <c r="Q15" s="4" t="s">
        <v>7</v>
      </c>
      <c r="R15" s="2" t="s">
        <v>4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>
        <v>2</v>
      </c>
      <c r="AL15" s="1">
        <v>2</v>
      </c>
      <c r="AM15" s="1">
        <v>3</v>
      </c>
      <c r="AN15" s="1">
        <v>2</v>
      </c>
      <c r="AO15" s="1">
        <v>3</v>
      </c>
      <c r="AP15" s="1">
        <v>3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f t="shared" si="1"/>
        <v>216</v>
      </c>
    </row>
    <row r="16" spans="1:52" ht="15.75" x14ac:dyDescent="0.25">
      <c r="A16" s="1">
        <f t="shared" si="3"/>
        <v>20905</v>
      </c>
      <c r="B16" s="1">
        <f t="shared" si="0"/>
        <v>21552</v>
      </c>
      <c r="C16" s="1" t="s">
        <v>63</v>
      </c>
      <c r="D16" s="1" t="s">
        <v>0</v>
      </c>
      <c r="E16" s="1" t="s">
        <v>1</v>
      </c>
      <c r="F16" s="1" t="s">
        <v>2</v>
      </c>
      <c r="G16" s="1" t="s">
        <v>3</v>
      </c>
      <c r="H16" s="1" t="s">
        <v>4</v>
      </c>
      <c r="I16" s="1" t="s">
        <v>5</v>
      </c>
      <c r="J16" s="1" t="s">
        <v>15</v>
      </c>
      <c r="K16" s="1" t="s">
        <v>28</v>
      </c>
      <c r="L16" s="1" t="s">
        <v>13</v>
      </c>
      <c r="M16" s="1" t="s">
        <v>2</v>
      </c>
      <c r="N16" s="1" t="s">
        <v>3</v>
      </c>
      <c r="O16" s="1" t="s">
        <v>18</v>
      </c>
      <c r="P16" s="1" t="s">
        <v>9</v>
      </c>
      <c r="Q16" s="1" t="s">
        <v>13</v>
      </c>
      <c r="R16" s="1" t="s">
        <v>14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>
        <v>2</v>
      </c>
      <c r="AL16" s="1">
        <v>2</v>
      </c>
      <c r="AM16" s="1">
        <v>3</v>
      </c>
      <c r="AN16" s="1">
        <v>2</v>
      </c>
      <c r="AO16" s="1">
        <v>3</v>
      </c>
      <c r="AP16" s="1">
        <v>3</v>
      </c>
      <c r="AQ16" s="1">
        <v>3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f t="shared" si="1"/>
        <v>648</v>
      </c>
    </row>
    <row r="17" spans="1:52" ht="16.5" x14ac:dyDescent="0.3">
      <c r="A17" s="1">
        <f t="shared" si="3"/>
        <v>21553</v>
      </c>
      <c r="B17" s="1">
        <f t="shared" si="0"/>
        <v>21768</v>
      </c>
      <c r="C17" s="1" t="s">
        <v>64</v>
      </c>
      <c r="D17" s="1" t="s">
        <v>0</v>
      </c>
      <c r="E17" s="1" t="s">
        <v>1</v>
      </c>
      <c r="F17" s="1" t="s">
        <v>2</v>
      </c>
      <c r="G17" s="1" t="s">
        <v>3</v>
      </c>
      <c r="H17" s="1" t="s">
        <v>4</v>
      </c>
      <c r="I17" s="1" t="s">
        <v>5</v>
      </c>
      <c r="J17" s="1" t="s">
        <v>9</v>
      </c>
      <c r="K17" s="1" t="s">
        <v>17</v>
      </c>
      <c r="L17" s="1" t="s">
        <v>11</v>
      </c>
      <c r="M17" s="1" t="s">
        <v>3</v>
      </c>
      <c r="N17" s="4" t="s">
        <v>7</v>
      </c>
      <c r="O17" s="1" t="s">
        <v>27</v>
      </c>
      <c r="P17" s="1" t="s">
        <v>22</v>
      </c>
      <c r="Q17" s="1" t="s">
        <v>23</v>
      </c>
      <c r="R17" s="4" t="s">
        <v>24</v>
      </c>
      <c r="S17" s="1" t="s">
        <v>6</v>
      </c>
      <c r="T17" s="1" t="s">
        <v>25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>
        <v>2</v>
      </c>
      <c r="AL17" s="1">
        <v>2</v>
      </c>
      <c r="AM17" s="1">
        <v>3</v>
      </c>
      <c r="AN17" s="1">
        <v>3</v>
      </c>
      <c r="AO17" s="1">
        <v>3</v>
      </c>
      <c r="AP17" s="1">
        <v>2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f t="shared" si="1"/>
        <v>216</v>
      </c>
    </row>
    <row r="18" spans="1:52" ht="16.5" x14ac:dyDescent="0.3">
      <c r="A18" s="1">
        <f t="shared" si="3"/>
        <v>21769</v>
      </c>
      <c r="B18" s="1">
        <f t="shared" si="0"/>
        <v>21984</v>
      </c>
      <c r="C18" s="1" t="s">
        <v>65</v>
      </c>
      <c r="D18" s="1" t="s">
        <v>0</v>
      </c>
      <c r="E18" s="1" t="s">
        <v>1</v>
      </c>
      <c r="F18" s="1" t="s">
        <v>2</v>
      </c>
      <c r="G18" s="1" t="s">
        <v>3</v>
      </c>
      <c r="H18" s="1" t="s">
        <v>4</v>
      </c>
      <c r="I18" s="1" t="s">
        <v>5</v>
      </c>
      <c r="J18" s="1" t="s">
        <v>6</v>
      </c>
      <c r="K18" s="1" t="s">
        <v>7</v>
      </c>
      <c r="L18" s="1" t="s">
        <v>27</v>
      </c>
      <c r="M18" s="1" t="s">
        <v>22</v>
      </c>
      <c r="N18" s="1" t="s">
        <v>23</v>
      </c>
      <c r="O18" s="4" t="s">
        <v>24</v>
      </c>
      <c r="P18" s="1" t="s">
        <v>9</v>
      </c>
      <c r="Q18" s="1" t="s">
        <v>20</v>
      </c>
      <c r="R18" s="1" t="s">
        <v>11</v>
      </c>
      <c r="S18" s="1" t="s">
        <v>3</v>
      </c>
      <c r="T18" s="1" t="s">
        <v>25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>
        <v>2</v>
      </c>
      <c r="AL18" s="1">
        <v>2</v>
      </c>
      <c r="AM18" s="1">
        <v>3</v>
      </c>
      <c r="AN18" s="1">
        <v>3</v>
      </c>
      <c r="AO18" s="1">
        <v>3</v>
      </c>
      <c r="AP18" s="1">
        <v>2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f t="shared" si="1"/>
        <v>216</v>
      </c>
    </row>
    <row r="19" spans="1:52" ht="16.5" x14ac:dyDescent="0.3">
      <c r="A19" s="1">
        <f t="shared" si="3"/>
        <v>21985</v>
      </c>
      <c r="B19" s="1">
        <f t="shared" si="0"/>
        <v>21996</v>
      </c>
      <c r="C19" s="1" t="s">
        <v>66</v>
      </c>
      <c r="D19" s="1" t="s">
        <v>0</v>
      </c>
      <c r="E19" s="1" t="s">
        <v>1</v>
      </c>
      <c r="F19" s="1" t="s">
        <v>2</v>
      </c>
      <c r="G19" s="1" t="s">
        <v>3</v>
      </c>
      <c r="H19" s="1" t="s">
        <v>4</v>
      </c>
      <c r="I19" s="1" t="s">
        <v>5</v>
      </c>
      <c r="J19" s="1" t="s">
        <v>6</v>
      </c>
      <c r="K19" s="1" t="s">
        <v>7</v>
      </c>
      <c r="L19" s="1" t="s">
        <v>27</v>
      </c>
      <c r="M19" s="1" t="s">
        <v>22</v>
      </c>
      <c r="N19" s="1" t="s">
        <v>23</v>
      </c>
      <c r="O19" s="4" t="s">
        <v>24</v>
      </c>
      <c r="P19" s="1" t="s">
        <v>6</v>
      </c>
      <c r="Q19" s="1" t="s">
        <v>25</v>
      </c>
      <c r="R19" s="1" t="s">
        <v>27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>
        <v>2</v>
      </c>
      <c r="AL19" s="1">
        <v>2</v>
      </c>
      <c r="AM19" s="1">
        <v>3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f t="shared" si="1"/>
        <v>12</v>
      </c>
    </row>
    <row r="20" spans="1:52" ht="15.75" x14ac:dyDescent="0.25">
      <c r="A20" s="1">
        <f>B19+1</f>
        <v>21997</v>
      </c>
      <c r="B20" s="1">
        <f t="shared" si="0"/>
        <v>22644</v>
      </c>
      <c r="C20" s="1" t="s">
        <v>67</v>
      </c>
      <c r="D20" s="1" t="s">
        <v>0</v>
      </c>
      <c r="E20" s="1" t="s">
        <v>1</v>
      </c>
      <c r="F20" s="1" t="s">
        <v>2</v>
      </c>
      <c r="G20" s="1" t="s">
        <v>3</v>
      </c>
      <c r="H20" s="1" t="s">
        <v>4</v>
      </c>
      <c r="I20" s="1" t="s">
        <v>5</v>
      </c>
      <c r="J20" s="1" t="s">
        <v>6</v>
      </c>
      <c r="K20" s="1" t="s">
        <v>7</v>
      </c>
      <c r="L20" s="1" t="s">
        <v>27</v>
      </c>
      <c r="M20" s="1" t="s">
        <v>15</v>
      </c>
      <c r="N20" s="1" t="s">
        <v>13</v>
      </c>
      <c r="O20" s="1" t="s">
        <v>2</v>
      </c>
      <c r="P20" s="1" t="s">
        <v>3</v>
      </c>
      <c r="Q20" s="1" t="s">
        <v>29</v>
      </c>
      <c r="R20" s="1" t="s">
        <v>18</v>
      </c>
      <c r="S20" s="1" t="s">
        <v>9</v>
      </c>
      <c r="T20" s="1" t="s">
        <v>13</v>
      </c>
      <c r="U20" s="1" t="s">
        <v>14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>
        <v>2</v>
      </c>
      <c r="AL20" s="1">
        <v>2</v>
      </c>
      <c r="AM20" s="1">
        <v>3</v>
      </c>
      <c r="AN20" s="1">
        <v>3</v>
      </c>
      <c r="AO20" s="1">
        <v>3</v>
      </c>
      <c r="AP20" s="1">
        <v>2</v>
      </c>
      <c r="AQ20" s="1">
        <v>3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f t="shared" si="1"/>
        <v>648</v>
      </c>
    </row>
    <row r="21" spans="1:52" ht="16.5" x14ac:dyDescent="0.3">
      <c r="A21" s="1">
        <f>B20+1</f>
        <v>22645</v>
      </c>
      <c r="B21" s="1">
        <f t="shared" si="0"/>
        <v>22656</v>
      </c>
      <c r="C21" s="1" t="s">
        <v>68</v>
      </c>
      <c r="D21" s="1" t="s">
        <v>0</v>
      </c>
      <c r="E21" s="1" t="s">
        <v>1</v>
      </c>
      <c r="F21" s="1" t="s">
        <v>2</v>
      </c>
      <c r="G21" s="1" t="s">
        <v>3</v>
      </c>
      <c r="H21" s="1" t="s">
        <v>4</v>
      </c>
      <c r="I21" s="1" t="s">
        <v>5</v>
      </c>
      <c r="J21" s="1" t="s">
        <v>6</v>
      </c>
      <c r="K21" s="1" t="s">
        <v>7</v>
      </c>
      <c r="L21" s="1" t="s">
        <v>27</v>
      </c>
      <c r="M21" s="4" t="s">
        <v>6</v>
      </c>
      <c r="N21" s="1" t="s">
        <v>12</v>
      </c>
      <c r="O21" s="1" t="s">
        <v>27</v>
      </c>
      <c r="P21" s="1" t="s">
        <v>6</v>
      </c>
      <c r="Q21" s="1" t="s">
        <v>7</v>
      </c>
      <c r="R21" s="1" t="s">
        <v>27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>
        <v>2</v>
      </c>
      <c r="AL21" s="1">
        <v>2</v>
      </c>
      <c r="AM21" s="1">
        <v>3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f t="shared" si="1"/>
        <v>12</v>
      </c>
    </row>
    <row r="22" spans="1:52" ht="15.75" x14ac:dyDescent="0.25">
      <c r="A22" s="1">
        <f t="shared" ref="A22:A42" si="4">B21+1</f>
        <v>22657</v>
      </c>
      <c r="B22" s="1">
        <f t="shared" si="0"/>
        <v>26544</v>
      </c>
      <c r="C22" s="1" t="s">
        <v>69</v>
      </c>
      <c r="D22" s="1" t="s">
        <v>0</v>
      </c>
      <c r="E22" s="1" t="s">
        <v>1</v>
      </c>
      <c r="F22" s="1" t="s">
        <v>2</v>
      </c>
      <c r="G22" s="1" t="s">
        <v>3</v>
      </c>
      <c r="H22" s="1" t="s">
        <v>4</v>
      </c>
      <c r="I22" s="1" t="s">
        <v>5</v>
      </c>
      <c r="J22" s="1" t="s">
        <v>15</v>
      </c>
      <c r="K22" s="1" t="s">
        <v>17</v>
      </c>
      <c r="L22" s="1" t="s">
        <v>2</v>
      </c>
      <c r="M22" s="1" t="s">
        <v>3</v>
      </c>
      <c r="N22" s="1" t="s">
        <v>29</v>
      </c>
      <c r="O22" s="1" t="s">
        <v>18</v>
      </c>
      <c r="P22" s="1" t="s">
        <v>9</v>
      </c>
      <c r="Q22" s="1" t="s">
        <v>17</v>
      </c>
      <c r="R22" s="1" t="s">
        <v>11</v>
      </c>
      <c r="S22" s="1" t="s">
        <v>3</v>
      </c>
      <c r="T22" s="1" t="s">
        <v>7</v>
      </c>
      <c r="U22" s="1" t="s">
        <v>27</v>
      </c>
      <c r="V22" s="1" t="s">
        <v>6</v>
      </c>
      <c r="W22" s="1" t="s">
        <v>14</v>
      </c>
      <c r="X22" s="1" t="s">
        <v>27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>
        <v>2</v>
      </c>
      <c r="AL22" s="1">
        <v>2</v>
      </c>
      <c r="AM22" s="1">
        <v>3</v>
      </c>
      <c r="AN22" s="1">
        <v>2</v>
      </c>
      <c r="AO22" s="1">
        <v>3</v>
      </c>
      <c r="AP22" s="1">
        <v>3</v>
      </c>
      <c r="AQ22" s="1">
        <v>3</v>
      </c>
      <c r="AR22" s="1">
        <v>3</v>
      </c>
      <c r="AS22" s="1">
        <v>2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f t="shared" si="1"/>
        <v>3888</v>
      </c>
    </row>
    <row r="23" spans="1:52" ht="15.75" x14ac:dyDescent="0.25">
      <c r="A23" s="1">
        <f t="shared" si="4"/>
        <v>26545</v>
      </c>
      <c r="B23" s="1">
        <f t="shared" si="0"/>
        <v>26556</v>
      </c>
      <c r="C23" s="1" t="s">
        <v>70</v>
      </c>
      <c r="D23" s="1" t="s">
        <v>0</v>
      </c>
      <c r="E23" s="1" t="s">
        <v>1</v>
      </c>
      <c r="F23" s="1" t="s">
        <v>2</v>
      </c>
      <c r="G23" s="1" t="s">
        <v>3</v>
      </c>
      <c r="H23" s="1" t="s">
        <v>4</v>
      </c>
      <c r="I23" s="1" t="s">
        <v>5</v>
      </c>
      <c r="J23" s="1" t="s">
        <v>6</v>
      </c>
      <c r="K23" s="1" t="s">
        <v>12</v>
      </c>
      <c r="L23" s="1" t="s">
        <v>27</v>
      </c>
      <c r="M23" s="1" t="s">
        <v>6</v>
      </c>
      <c r="N23" s="1" t="s">
        <v>12</v>
      </c>
      <c r="O23" s="1" t="s">
        <v>6</v>
      </c>
      <c r="P23" s="1" t="s">
        <v>7</v>
      </c>
      <c r="Q23" s="1" t="s">
        <v>27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>
        <v>2</v>
      </c>
      <c r="AL23" s="1">
        <v>2</v>
      </c>
      <c r="AM23" s="1">
        <v>3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f t="shared" si="1"/>
        <v>12</v>
      </c>
    </row>
    <row r="24" spans="1:52" ht="15.75" x14ac:dyDescent="0.25">
      <c r="A24" s="1">
        <f t="shared" si="4"/>
        <v>26557</v>
      </c>
      <c r="B24" s="1">
        <f t="shared" si="0"/>
        <v>26772</v>
      </c>
      <c r="C24" s="1" t="s">
        <v>71</v>
      </c>
      <c r="D24" s="1" t="s">
        <v>0</v>
      </c>
      <c r="E24" s="1" t="s">
        <v>1</v>
      </c>
      <c r="F24" s="1" t="s">
        <v>2</v>
      </c>
      <c r="G24" s="1" t="s">
        <v>3</v>
      </c>
      <c r="H24" s="1" t="s">
        <v>4</v>
      </c>
      <c r="I24" s="1" t="s">
        <v>5</v>
      </c>
      <c r="J24" s="1" t="s">
        <v>15</v>
      </c>
      <c r="K24" s="1" t="s">
        <v>17</v>
      </c>
      <c r="L24" s="1" t="s">
        <v>2</v>
      </c>
      <c r="M24" s="1" t="s">
        <v>3</v>
      </c>
      <c r="N24" s="1" t="s">
        <v>18</v>
      </c>
      <c r="O24" s="1" t="s">
        <v>6</v>
      </c>
      <c r="P24" s="1" t="s">
        <v>12</v>
      </c>
      <c r="Q24" s="1" t="s">
        <v>27</v>
      </c>
      <c r="R24" s="1" t="s">
        <v>6</v>
      </c>
      <c r="S24" s="1" t="s">
        <v>7</v>
      </c>
      <c r="T24" s="1" t="s">
        <v>27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>
        <v>2</v>
      </c>
      <c r="AL24" s="1">
        <v>2</v>
      </c>
      <c r="AM24" s="1">
        <v>3</v>
      </c>
      <c r="AN24" s="1">
        <v>2</v>
      </c>
      <c r="AO24" s="1">
        <v>3</v>
      </c>
      <c r="AP24" s="1">
        <v>3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f t="shared" si="1"/>
        <v>216</v>
      </c>
    </row>
    <row r="25" spans="1:52" ht="15.75" x14ac:dyDescent="0.25">
      <c r="A25" s="1">
        <f t="shared" si="4"/>
        <v>26773</v>
      </c>
      <c r="B25" s="1">
        <f t="shared" si="0"/>
        <v>26988</v>
      </c>
      <c r="C25" s="1" t="s">
        <v>72</v>
      </c>
      <c r="D25" s="1" t="s">
        <v>0</v>
      </c>
      <c r="E25" s="1" t="s">
        <v>1</v>
      </c>
      <c r="F25" s="1" t="s">
        <v>2</v>
      </c>
      <c r="G25" s="1" t="s">
        <v>3</v>
      </c>
      <c r="H25" s="1" t="s">
        <v>4</v>
      </c>
      <c r="I25" s="1" t="s">
        <v>5</v>
      </c>
      <c r="J25" s="1" t="s">
        <v>6</v>
      </c>
      <c r="K25" s="1" t="s">
        <v>12</v>
      </c>
      <c r="L25" s="1" t="s">
        <v>27</v>
      </c>
      <c r="M25" s="1" t="s">
        <v>22</v>
      </c>
      <c r="N25" s="1" t="s">
        <v>23</v>
      </c>
      <c r="O25" s="1" t="s">
        <v>6</v>
      </c>
      <c r="P25" s="1" t="s">
        <v>7</v>
      </c>
      <c r="Q25" s="1" t="s">
        <v>27</v>
      </c>
      <c r="R25" s="1" t="s">
        <v>9</v>
      </c>
      <c r="S25" s="1" t="s">
        <v>20</v>
      </c>
      <c r="T25" s="1" t="s">
        <v>11</v>
      </c>
      <c r="U25" s="1" t="s">
        <v>3</v>
      </c>
      <c r="V25" s="1" t="s">
        <v>26</v>
      </c>
      <c r="W25" s="1" t="s">
        <v>27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>
        <v>2</v>
      </c>
      <c r="AL25" s="1">
        <v>2</v>
      </c>
      <c r="AM25" s="1">
        <v>3</v>
      </c>
      <c r="AN25" s="1">
        <v>3</v>
      </c>
      <c r="AO25" s="1">
        <v>3</v>
      </c>
      <c r="AP25" s="1">
        <v>2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f t="shared" si="1"/>
        <v>216</v>
      </c>
    </row>
    <row r="26" spans="1:52" ht="15.75" x14ac:dyDescent="0.25">
      <c r="A26" s="1">
        <f t="shared" si="4"/>
        <v>26989</v>
      </c>
      <c r="B26" s="1">
        <f t="shared" si="0"/>
        <v>27000</v>
      </c>
      <c r="C26" s="1" t="s">
        <v>73</v>
      </c>
      <c r="D26" s="1" t="s">
        <v>0</v>
      </c>
      <c r="E26" s="1" t="s">
        <v>1</v>
      </c>
      <c r="F26" s="1" t="s">
        <v>2</v>
      </c>
      <c r="G26" s="1" t="s">
        <v>3</v>
      </c>
      <c r="H26" s="1" t="s">
        <v>4</v>
      </c>
      <c r="I26" s="1" t="s">
        <v>5</v>
      </c>
      <c r="J26" s="1" t="s">
        <v>6</v>
      </c>
      <c r="K26" s="1" t="s">
        <v>12</v>
      </c>
      <c r="L26" s="1" t="s">
        <v>27</v>
      </c>
      <c r="M26" s="1" t="s">
        <v>6</v>
      </c>
      <c r="N26" s="1" t="s">
        <v>7</v>
      </c>
      <c r="O26" s="1" t="s">
        <v>27</v>
      </c>
      <c r="P26" s="1" t="s">
        <v>22</v>
      </c>
      <c r="Q26" s="1" t="s">
        <v>23</v>
      </c>
      <c r="R26" s="1" t="s">
        <v>24</v>
      </c>
      <c r="S26" s="1" t="s">
        <v>6</v>
      </c>
      <c r="T26" s="1" t="s">
        <v>25</v>
      </c>
      <c r="U26" s="1" t="s">
        <v>27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>
        <v>2</v>
      </c>
      <c r="AL26" s="1">
        <v>2</v>
      </c>
      <c r="AM26" s="1">
        <v>3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f t="shared" si="1"/>
        <v>12</v>
      </c>
    </row>
    <row r="27" spans="1:52" ht="15.75" x14ac:dyDescent="0.25">
      <c r="A27" s="1">
        <f t="shared" si="4"/>
        <v>27001</v>
      </c>
      <c r="B27" s="1">
        <f t="shared" si="0"/>
        <v>30888</v>
      </c>
      <c r="C27" s="1" t="s">
        <v>75</v>
      </c>
      <c r="D27" s="1" t="s">
        <v>0</v>
      </c>
      <c r="E27" s="1" t="s">
        <v>1</v>
      </c>
      <c r="F27" s="1" t="s">
        <v>2</v>
      </c>
      <c r="G27" s="1" t="s">
        <v>3</v>
      </c>
      <c r="H27" s="1" t="s">
        <v>4</v>
      </c>
      <c r="I27" s="1" t="s">
        <v>5</v>
      </c>
      <c r="J27" s="1" t="s">
        <v>9</v>
      </c>
      <c r="K27" s="1" t="s">
        <v>17</v>
      </c>
      <c r="L27" s="1" t="s">
        <v>11</v>
      </c>
      <c r="M27" s="1" t="s">
        <v>3</v>
      </c>
      <c r="N27" s="1" t="s">
        <v>30</v>
      </c>
      <c r="O27" s="1" t="s">
        <v>27</v>
      </c>
      <c r="P27" s="1" t="s">
        <v>9</v>
      </c>
      <c r="Q27" s="1" t="s">
        <v>13</v>
      </c>
      <c r="R27" s="1" t="s">
        <v>31</v>
      </c>
      <c r="S27" s="1" t="s">
        <v>3</v>
      </c>
      <c r="T27" s="1" t="s">
        <v>25</v>
      </c>
      <c r="U27" s="1" t="s">
        <v>27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>
        <v>2</v>
      </c>
      <c r="AL27" s="1">
        <v>2</v>
      </c>
      <c r="AM27" s="1">
        <v>3</v>
      </c>
      <c r="AN27" s="1">
        <v>2</v>
      </c>
      <c r="AO27" s="1">
        <v>3</v>
      </c>
      <c r="AP27" s="1">
        <v>3</v>
      </c>
      <c r="AQ27" s="1">
        <v>2</v>
      </c>
      <c r="AR27" s="1">
        <v>3</v>
      </c>
      <c r="AS27" s="1">
        <v>3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f t="shared" si="1"/>
        <v>3888</v>
      </c>
    </row>
    <row r="28" spans="1:52" ht="15.75" x14ac:dyDescent="0.25">
      <c r="A28" s="1">
        <f t="shared" si="4"/>
        <v>30889</v>
      </c>
      <c r="B28" s="1">
        <f t="shared" si="0"/>
        <v>65880</v>
      </c>
      <c r="C28" s="1" t="s">
        <v>76</v>
      </c>
      <c r="D28" s="1" t="s">
        <v>0</v>
      </c>
      <c r="E28" s="1" t="s">
        <v>1</v>
      </c>
      <c r="F28" s="1" t="s">
        <v>2</v>
      </c>
      <c r="G28" s="1" t="s">
        <v>3</v>
      </c>
      <c r="H28" s="1" t="s">
        <v>4</v>
      </c>
      <c r="I28" s="1" t="s">
        <v>5</v>
      </c>
      <c r="J28" s="1" t="s">
        <v>9</v>
      </c>
      <c r="K28" s="1" t="s">
        <v>17</v>
      </c>
      <c r="L28" s="1" t="s">
        <v>19</v>
      </c>
      <c r="M28" s="1" t="s">
        <v>3</v>
      </c>
      <c r="N28" s="1" t="s">
        <v>30</v>
      </c>
      <c r="O28" s="1" t="s">
        <v>27</v>
      </c>
      <c r="P28" s="1" t="s">
        <v>9</v>
      </c>
      <c r="Q28" s="1" t="s">
        <v>20</v>
      </c>
      <c r="R28" s="1" t="s">
        <v>11</v>
      </c>
      <c r="S28" s="1" t="s">
        <v>3</v>
      </c>
      <c r="T28" s="1" t="s">
        <v>12</v>
      </c>
      <c r="U28" s="1" t="s">
        <v>9</v>
      </c>
      <c r="V28" s="1" t="s">
        <v>13</v>
      </c>
      <c r="W28" s="1" t="s">
        <v>31</v>
      </c>
      <c r="X28" s="1" t="s">
        <v>3</v>
      </c>
      <c r="Y28" s="1" t="s">
        <v>25</v>
      </c>
      <c r="Z28" s="1" t="s">
        <v>27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>
        <v>2</v>
      </c>
      <c r="AL28" s="1">
        <v>2</v>
      </c>
      <c r="AM28" s="1">
        <v>3</v>
      </c>
      <c r="AN28" s="1">
        <v>3</v>
      </c>
      <c r="AO28" s="1">
        <v>3</v>
      </c>
      <c r="AP28" s="1">
        <v>3</v>
      </c>
      <c r="AQ28" s="1">
        <v>2</v>
      </c>
      <c r="AR28" s="1">
        <v>3</v>
      </c>
      <c r="AS28" s="1">
        <v>2</v>
      </c>
      <c r="AT28" s="1">
        <v>3</v>
      </c>
      <c r="AU28" s="1">
        <v>3</v>
      </c>
      <c r="AV28" s="1">
        <v>1</v>
      </c>
      <c r="AW28" s="1">
        <v>1</v>
      </c>
      <c r="AX28" s="1">
        <v>1</v>
      </c>
      <c r="AY28" s="1">
        <v>1</v>
      </c>
      <c r="AZ28" s="1">
        <f t="shared" si="1"/>
        <v>34992</v>
      </c>
    </row>
    <row r="29" spans="1:52" ht="15.75" x14ac:dyDescent="0.25">
      <c r="A29" s="1">
        <f t="shared" si="4"/>
        <v>65881</v>
      </c>
      <c r="B29" s="1">
        <f t="shared" si="0"/>
        <v>135864</v>
      </c>
      <c r="C29" s="1" t="s">
        <v>74</v>
      </c>
      <c r="D29" s="1" t="s">
        <v>0</v>
      </c>
      <c r="E29" s="1" t="s">
        <v>1</v>
      </c>
      <c r="F29" s="1" t="s">
        <v>2</v>
      </c>
      <c r="G29" s="1" t="s">
        <v>3</v>
      </c>
      <c r="H29" s="1" t="s">
        <v>4</v>
      </c>
      <c r="I29" s="1" t="s">
        <v>5</v>
      </c>
      <c r="J29" s="1" t="s">
        <v>9</v>
      </c>
      <c r="K29" s="1" t="s">
        <v>17</v>
      </c>
      <c r="L29" s="1" t="s">
        <v>19</v>
      </c>
      <c r="M29" s="1" t="s">
        <v>3</v>
      </c>
      <c r="N29" s="1" t="s">
        <v>30</v>
      </c>
      <c r="O29" s="1" t="s">
        <v>27</v>
      </c>
      <c r="P29" s="1" t="s">
        <v>32</v>
      </c>
      <c r="Q29" s="1" t="s">
        <v>20</v>
      </c>
      <c r="R29" s="1" t="s">
        <v>11</v>
      </c>
      <c r="S29" s="1" t="s">
        <v>3</v>
      </c>
      <c r="T29" s="1" t="s">
        <v>33</v>
      </c>
      <c r="U29" s="1" t="s">
        <v>9</v>
      </c>
      <c r="V29" s="1" t="s">
        <v>13</v>
      </c>
      <c r="W29" s="1" t="s">
        <v>31</v>
      </c>
      <c r="X29" s="1" t="s">
        <v>3</v>
      </c>
      <c r="Y29" s="1" t="s">
        <v>25</v>
      </c>
      <c r="Z29" s="1" t="s">
        <v>27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>
        <v>2</v>
      </c>
      <c r="AL29" s="1">
        <v>2</v>
      </c>
      <c r="AM29" s="1">
        <v>3</v>
      </c>
      <c r="AN29" s="1">
        <v>3</v>
      </c>
      <c r="AO29" s="1">
        <v>3</v>
      </c>
      <c r="AP29" s="1">
        <v>3</v>
      </c>
      <c r="AQ29" s="1">
        <v>2</v>
      </c>
      <c r="AR29" s="1">
        <v>3</v>
      </c>
      <c r="AS29" s="1">
        <v>2</v>
      </c>
      <c r="AT29" s="1">
        <v>3</v>
      </c>
      <c r="AU29" s="1">
        <v>3</v>
      </c>
      <c r="AV29" s="1">
        <v>2</v>
      </c>
      <c r="AW29" s="1">
        <v>1</v>
      </c>
      <c r="AX29" s="1">
        <v>1</v>
      </c>
      <c r="AY29" s="1">
        <v>1</v>
      </c>
      <c r="AZ29" s="1">
        <f t="shared" si="1"/>
        <v>69984</v>
      </c>
    </row>
    <row r="30" spans="1:52" ht="15.75" x14ac:dyDescent="0.25">
      <c r="A30" s="1">
        <f t="shared" si="4"/>
        <v>135865</v>
      </c>
      <c r="B30" s="1">
        <f t="shared" si="0"/>
        <v>137808</v>
      </c>
      <c r="C30" s="1" t="s">
        <v>77</v>
      </c>
      <c r="D30" s="1" t="s">
        <v>0</v>
      </c>
      <c r="E30" s="1" t="s">
        <v>1</v>
      </c>
      <c r="F30" s="1" t="s">
        <v>2</v>
      </c>
      <c r="G30" s="1" t="s">
        <v>3</v>
      </c>
      <c r="H30" s="1" t="s">
        <v>4</v>
      </c>
      <c r="I30" s="1" t="s">
        <v>5</v>
      </c>
      <c r="J30" s="1" t="s">
        <v>9</v>
      </c>
      <c r="K30" s="1" t="s">
        <v>17</v>
      </c>
      <c r="L30" s="1" t="s">
        <v>19</v>
      </c>
      <c r="M30" s="1" t="s">
        <v>3</v>
      </c>
      <c r="N30" s="1" t="s">
        <v>30</v>
      </c>
      <c r="O30" s="1" t="s">
        <v>6</v>
      </c>
      <c r="P30" s="1" t="s">
        <v>12</v>
      </c>
      <c r="Q30" s="1" t="s">
        <v>27</v>
      </c>
      <c r="R30" s="1" t="s">
        <v>9</v>
      </c>
      <c r="S30" s="1" t="s">
        <v>13</v>
      </c>
      <c r="T30" s="1" t="s">
        <v>11</v>
      </c>
      <c r="U30" s="1" t="s">
        <v>3</v>
      </c>
      <c r="V30" s="1" t="s">
        <v>25</v>
      </c>
      <c r="W30" s="1" t="s">
        <v>27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>
        <v>2</v>
      </c>
      <c r="AL30" s="1">
        <v>2</v>
      </c>
      <c r="AM30" s="1">
        <v>3</v>
      </c>
      <c r="AN30" s="1">
        <v>1</v>
      </c>
      <c r="AO30" s="1">
        <v>3</v>
      </c>
      <c r="AP30" s="1">
        <v>3</v>
      </c>
      <c r="AQ30" s="1">
        <v>2</v>
      </c>
      <c r="AR30" s="1">
        <v>3</v>
      </c>
      <c r="AS30" s="1">
        <v>3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f t="shared" si="1"/>
        <v>1944</v>
      </c>
    </row>
    <row r="31" spans="1:52" ht="15.75" x14ac:dyDescent="0.25">
      <c r="A31" s="1">
        <f t="shared" si="4"/>
        <v>137809</v>
      </c>
      <c r="B31" s="1">
        <f t="shared" si="0"/>
        <v>145584</v>
      </c>
      <c r="C31" s="1" t="s">
        <v>78</v>
      </c>
      <c r="D31" s="1" t="s">
        <v>0</v>
      </c>
      <c r="E31" s="1" t="s">
        <v>1</v>
      </c>
      <c r="F31" s="1" t="s">
        <v>2</v>
      </c>
      <c r="G31" s="1" t="s">
        <v>3</v>
      </c>
      <c r="H31" s="1" t="s">
        <v>4</v>
      </c>
      <c r="I31" s="1" t="s">
        <v>5</v>
      </c>
      <c r="J31" s="1" t="s">
        <v>9</v>
      </c>
      <c r="K31" s="1" t="s">
        <v>17</v>
      </c>
      <c r="L31" s="1" t="s">
        <v>11</v>
      </c>
      <c r="M31" s="1" t="s">
        <v>3</v>
      </c>
      <c r="N31" s="1" t="s">
        <v>30</v>
      </c>
      <c r="O31" s="1" t="s">
        <v>27</v>
      </c>
      <c r="P31" s="1" t="s">
        <v>32</v>
      </c>
      <c r="Q31" s="1" t="s">
        <v>13</v>
      </c>
      <c r="R31" s="1" t="s">
        <v>31</v>
      </c>
      <c r="S31" s="1" t="s">
        <v>3</v>
      </c>
      <c r="T31" s="1" t="s">
        <v>34</v>
      </c>
      <c r="U31" s="1" t="s">
        <v>27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>
        <v>2</v>
      </c>
      <c r="AL31" s="1">
        <v>2</v>
      </c>
      <c r="AM31" s="1">
        <v>3</v>
      </c>
      <c r="AN31" s="1">
        <v>2</v>
      </c>
      <c r="AO31" s="1">
        <v>3</v>
      </c>
      <c r="AP31" s="1">
        <v>3</v>
      </c>
      <c r="AQ31" s="1">
        <v>2</v>
      </c>
      <c r="AR31" s="1">
        <v>3</v>
      </c>
      <c r="AS31" s="1">
        <v>3</v>
      </c>
      <c r="AT31" s="1">
        <v>2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f t="shared" si="1"/>
        <v>7776</v>
      </c>
    </row>
    <row r="32" spans="1:52" ht="15.75" x14ac:dyDescent="0.25">
      <c r="A32" s="1">
        <f t="shared" si="4"/>
        <v>145585</v>
      </c>
      <c r="B32" s="1">
        <f t="shared" si="0"/>
        <v>180576</v>
      </c>
      <c r="C32" s="1" t="s">
        <v>79</v>
      </c>
      <c r="D32" s="1" t="s">
        <v>0</v>
      </c>
      <c r="E32" s="1" t="s">
        <v>1</v>
      </c>
      <c r="F32" s="1" t="s">
        <v>2</v>
      </c>
      <c r="G32" s="1" t="s">
        <v>3</v>
      </c>
      <c r="H32" s="1" t="s">
        <v>4</v>
      </c>
      <c r="I32" s="1" t="s">
        <v>5</v>
      </c>
      <c r="J32" s="1" t="s">
        <v>9</v>
      </c>
      <c r="K32" s="1" t="s">
        <v>17</v>
      </c>
      <c r="L32" s="1" t="s">
        <v>19</v>
      </c>
      <c r="M32" s="1" t="s">
        <v>3</v>
      </c>
      <c r="N32" s="1" t="s">
        <v>30</v>
      </c>
      <c r="O32" s="1" t="s">
        <v>27</v>
      </c>
      <c r="P32" s="1" t="s">
        <v>9</v>
      </c>
      <c r="Q32" s="1" t="s">
        <v>20</v>
      </c>
      <c r="R32" s="1" t="s">
        <v>11</v>
      </c>
      <c r="S32" s="1" t="s">
        <v>3</v>
      </c>
      <c r="T32" s="1" t="s">
        <v>12</v>
      </c>
      <c r="U32" s="1" t="s">
        <v>9</v>
      </c>
      <c r="V32" s="1" t="s">
        <v>13</v>
      </c>
      <c r="W32" s="1" t="s">
        <v>31</v>
      </c>
      <c r="X32" s="1" t="s">
        <v>3</v>
      </c>
      <c r="Y32" s="1" t="s">
        <v>34</v>
      </c>
      <c r="Z32" s="1" t="s">
        <v>27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>
        <v>2</v>
      </c>
      <c r="AL32" s="1">
        <v>2</v>
      </c>
      <c r="AM32" s="1">
        <v>3</v>
      </c>
      <c r="AN32" s="1">
        <v>3</v>
      </c>
      <c r="AO32" s="1">
        <v>3</v>
      </c>
      <c r="AP32" s="1">
        <v>3</v>
      </c>
      <c r="AQ32" s="1">
        <v>2</v>
      </c>
      <c r="AR32" s="1">
        <v>3</v>
      </c>
      <c r="AS32" s="1">
        <v>3</v>
      </c>
      <c r="AT32" s="1">
        <v>2</v>
      </c>
      <c r="AU32" s="1">
        <v>3</v>
      </c>
      <c r="AV32" s="1">
        <v>1</v>
      </c>
      <c r="AW32" s="1">
        <v>1</v>
      </c>
      <c r="AX32" s="1">
        <v>1</v>
      </c>
      <c r="AY32" s="1">
        <v>1</v>
      </c>
      <c r="AZ32" s="1">
        <f t="shared" si="1"/>
        <v>34992</v>
      </c>
    </row>
    <row r="33" spans="1:52" ht="15.75" x14ac:dyDescent="0.25">
      <c r="A33" s="1">
        <f t="shared" si="4"/>
        <v>180577</v>
      </c>
      <c r="B33" s="1">
        <f t="shared" si="0"/>
        <v>250560</v>
      </c>
      <c r="C33" s="1" t="s">
        <v>80</v>
      </c>
      <c r="D33" s="1" t="s">
        <v>0</v>
      </c>
      <c r="E33" s="1" t="s">
        <v>1</v>
      </c>
      <c r="F33" s="1" t="s">
        <v>2</v>
      </c>
      <c r="G33" s="1" t="s">
        <v>3</v>
      </c>
      <c r="H33" s="1" t="s">
        <v>4</v>
      </c>
      <c r="I33" s="1" t="s">
        <v>5</v>
      </c>
      <c r="J33" s="1" t="s">
        <v>9</v>
      </c>
      <c r="K33" s="1" t="s">
        <v>17</v>
      </c>
      <c r="L33" s="1" t="s">
        <v>19</v>
      </c>
      <c r="M33" s="1" t="s">
        <v>3</v>
      </c>
      <c r="N33" s="1" t="s">
        <v>30</v>
      </c>
      <c r="O33" s="1" t="s">
        <v>27</v>
      </c>
      <c r="P33" s="1" t="s">
        <v>32</v>
      </c>
      <c r="Q33" s="1" t="s">
        <v>20</v>
      </c>
      <c r="R33" s="1" t="s">
        <v>11</v>
      </c>
      <c r="S33" s="1" t="s">
        <v>3</v>
      </c>
      <c r="T33" s="1" t="s">
        <v>33</v>
      </c>
      <c r="U33" s="1" t="s">
        <v>9</v>
      </c>
      <c r="V33" s="1" t="s">
        <v>13</v>
      </c>
      <c r="W33" s="1" t="s">
        <v>31</v>
      </c>
      <c r="X33" s="1" t="s">
        <v>3</v>
      </c>
      <c r="Y33" s="1" t="s">
        <v>34</v>
      </c>
      <c r="Z33" s="1" t="s">
        <v>27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>
        <v>2</v>
      </c>
      <c r="AL33" s="1">
        <v>2</v>
      </c>
      <c r="AM33" s="1">
        <v>3</v>
      </c>
      <c r="AN33" s="1">
        <v>3</v>
      </c>
      <c r="AO33" s="1">
        <v>3</v>
      </c>
      <c r="AP33" s="1">
        <v>3</v>
      </c>
      <c r="AQ33" s="1">
        <v>2</v>
      </c>
      <c r="AR33" s="1">
        <v>3</v>
      </c>
      <c r="AS33" s="1">
        <v>2</v>
      </c>
      <c r="AT33" s="1">
        <v>2</v>
      </c>
      <c r="AU33" s="1">
        <v>3</v>
      </c>
      <c r="AV33" s="1">
        <v>3</v>
      </c>
      <c r="AW33" s="1">
        <v>1</v>
      </c>
      <c r="AX33" s="1">
        <v>1</v>
      </c>
      <c r="AY33" s="1">
        <v>1</v>
      </c>
      <c r="AZ33" s="1">
        <f t="shared" si="1"/>
        <v>69984</v>
      </c>
    </row>
    <row r="34" spans="1:52" ht="15.75" x14ac:dyDescent="0.25">
      <c r="A34" s="1">
        <f t="shared" si="4"/>
        <v>250561</v>
      </c>
      <c r="B34" s="1">
        <f t="shared" si="0"/>
        <v>252504</v>
      </c>
      <c r="C34" s="1" t="s">
        <v>81</v>
      </c>
      <c r="D34" s="1" t="s">
        <v>0</v>
      </c>
      <c r="E34" s="1" t="s">
        <v>1</v>
      </c>
      <c r="F34" s="1" t="s">
        <v>2</v>
      </c>
      <c r="G34" s="1" t="s">
        <v>3</v>
      </c>
      <c r="H34" s="1" t="s">
        <v>4</v>
      </c>
      <c r="I34" s="1" t="s">
        <v>5</v>
      </c>
      <c r="J34" s="1" t="s">
        <v>9</v>
      </c>
      <c r="K34" s="1" t="s">
        <v>17</v>
      </c>
      <c r="L34" s="1" t="s">
        <v>19</v>
      </c>
      <c r="M34" s="1" t="s">
        <v>3</v>
      </c>
      <c r="N34" s="1" t="s">
        <v>30</v>
      </c>
      <c r="O34" s="1" t="s">
        <v>6</v>
      </c>
      <c r="P34" s="1" t="s">
        <v>12</v>
      </c>
      <c r="Q34" s="1" t="s">
        <v>27</v>
      </c>
      <c r="R34" s="1" t="s">
        <v>9</v>
      </c>
      <c r="S34" s="1" t="s">
        <v>13</v>
      </c>
      <c r="T34" s="1" t="s">
        <v>31</v>
      </c>
      <c r="U34" s="1" t="s">
        <v>3</v>
      </c>
      <c r="V34" s="1" t="s">
        <v>33</v>
      </c>
      <c r="W34" s="1" t="s">
        <v>27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>
        <v>2</v>
      </c>
      <c r="AL34" s="1">
        <v>2</v>
      </c>
      <c r="AM34" s="1">
        <v>3</v>
      </c>
      <c r="AN34" s="1">
        <v>1</v>
      </c>
      <c r="AO34" s="1">
        <v>3</v>
      </c>
      <c r="AP34" s="1">
        <v>3</v>
      </c>
      <c r="AQ34" s="1">
        <v>2</v>
      </c>
      <c r="AR34" s="1">
        <v>3</v>
      </c>
      <c r="AS34" s="1">
        <v>3</v>
      </c>
      <c r="AT34" s="1">
        <v>1</v>
      </c>
      <c r="AU34" s="1">
        <v>1</v>
      </c>
      <c r="AV34" s="1">
        <v>1</v>
      </c>
      <c r="AW34" s="1">
        <v>1</v>
      </c>
      <c r="AX34" s="1">
        <v>1</v>
      </c>
      <c r="AY34" s="1">
        <v>1</v>
      </c>
      <c r="AZ34" s="1">
        <f t="shared" si="1"/>
        <v>1944</v>
      </c>
    </row>
    <row r="35" spans="1:52" ht="15.75" x14ac:dyDescent="0.25">
      <c r="A35" s="1">
        <f t="shared" si="4"/>
        <v>252505</v>
      </c>
      <c r="B35" s="1">
        <f t="shared" si="0"/>
        <v>264168</v>
      </c>
      <c r="C35" s="1" t="s">
        <v>82</v>
      </c>
      <c r="D35" s="1" t="s">
        <v>0</v>
      </c>
      <c r="E35" s="1" t="s">
        <v>1</v>
      </c>
      <c r="F35" s="1" t="s">
        <v>2</v>
      </c>
      <c r="G35" s="1" t="s">
        <v>3</v>
      </c>
      <c r="H35" s="1" t="s">
        <v>4</v>
      </c>
      <c r="I35" s="1" t="s">
        <v>5</v>
      </c>
      <c r="J35" s="1" t="s">
        <v>9</v>
      </c>
      <c r="K35" s="1" t="s">
        <v>17</v>
      </c>
      <c r="L35" s="1" t="s">
        <v>11</v>
      </c>
      <c r="M35" s="1" t="s">
        <v>3</v>
      </c>
      <c r="N35" s="1" t="s">
        <v>7</v>
      </c>
      <c r="O35" s="5" t="s">
        <v>27</v>
      </c>
      <c r="P35" s="1" t="s">
        <v>15</v>
      </c>
      <c r="Q35" s="1" t="s">
        <v>13</v>
      </c>
      <c r="R35" s="1" t="s">
        <v>2</v>
      </c>
      <c r="S35" s="1" t="s">
        <v>3</v>
      </c>
      <c r="T35" s="1" t="s">
        <v>29</v>
      </c>
      <c r="U35" s="1" t="s">
        <v>18</v>
      </c>
      <c r="V35" s="1" t="s">
        <v>9</v>
      </c>
      <c r="W35" s="1" t="s">
        <v>13</v>
      </c>
      <c r="X35" s="1" t="s">
        <v>14</v>
      </c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>
        <v>2</v>
      </c>
      <c r="AL35" s="1">
        <v>2</v>
      </c>
      <c r="AM35" s="1">
        <v>3</v>
      </c>
      <c r="AN35" s="1">
        <v>3</v>
      </c>
      <c r="AO35" s="1">
        <v>3</v>
      </c>
      <c r="AP35" s="1">
        <v>2</v>
      </c>
      <c r="AQ35" s="1">
        <v>3</v>
      </c>
      <c r="AR35" s="1">
        <v>3</v>
      </c>
      <c r="AS35" s="1">
        <v>2</v>
      </c>
      <c r="AT35" s="1">
        <v>3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f>PRODUCT(AK35:AY35)</f>
        <v>11664</v>
      </c>
    </row>
    <row r="36" spans="1:52" ht="15.75" x14ac:dyDescent="0.25">
      <c r="A36" s="1">
        <f t="shared" si="4"/>
        <v>264169</v>
      </c>
      <c r="B36" s="1">
        <f t="shared" si="0"/>
        <v>369144</v>
      </c>
      <c r="C36" s="1" t="s">
        <v>83</v>
      </c>
      <c r="D36" s="1" t="s">
        <v>0</v>
      </c>
      <c r="E36" s="1" t="s">
        <v>1</v>
      </c>
      <c r="F36" s="1" t="s">
        <v>2</v>
      </c>
      <c r="G36" s="1" t="s">
        <v>3</v>
      </c>
      <c r="H36" s="1" t="s">
        <v>4</v>
      </c>
      <c r="I36" s="1" t="s">
        <v>5</v>
      </c>
      <c r="J36" s="1" t="s">
        <v>15</v>
      </c>
      <c r="K36" s="1" t="s">
        <v>17</v>
      </c>
      <c r="L36" s="1" t="s">
        <v>2</v>
      </c>
      <c r="M36" s="1" t="s">
        <v>3</v>
      </c>
      <c r="N36" s="1" t="s">
        <v>29</v>
      </c>
      <c r="O36" s="1" t="s">
        <v>18</v>
      </c>
      <c r="P36" s="1" t="s">
        <v>9</v>
      </c>
      <c r="Q36" s="1" t="s">
        <v>17</v>
      </c>
      <c r="R36" s="1" t="s">
        <v>11</v>
      </c>
      <c r="S36" s="1" t="s">
        <v>3</v>
      </c>
      <c r="T36" s="1" t="s">
        <v>7</v>
      </c>
      <c r="U36" s="1" t="s">
        <v>27</v>
      </c>
      <c r="V36" s="1" t="s">
        <v>15</v>
      </c>
      <c r="W36" s="1" t="s">
        <v>13</v>
      </c>
      <c r="X36" s="1" t="s">
        <v>2</v>
      </c>
      <c r="Y36" s="1" t="s">
        <v>3</v>
      </c>
      <c r="Z36" s="1" t="s">
        <v>29</v>
      </c>
      <c r="AA36" s="1" t="s">
        <v>9</v>
      </c>
      <c r="AB36" s="1" t="s">
        <v>13</v>
      </c>
      <c r="AC36" s="1" t="s">
        <v>14</v>
      </c>
      <c r="AD36" s="1"/>
      <c r="AE36" s="1"/>
      <c r="AF36" s="1"/>
      <c r="AG36" s="1"/>
      <c r="AH36" s="1"/>
      <c r="AI36" s="1"/>
      <c r="AJ36" s="1"/>
      <c r="AK36" s="1">
        <v>2</v>
      </c>
      <c r="AL36" s="1">
        <v>2</v>
      </c>
      <c r="AM36" s="1">
        <v>3</v>
      </c>
      <c r="AN36" s="1">
        <v>2</v>
      </c>
      <c r="AO36" s="1">
        <v>3</v>
      </c>
      <c r="AP36" s="1">
        <v>3</v>
      </c>
      <c r="AQ36" s="1">
        <v>3</v>
      </c>
      <c r="AR36" s="1">
        <v>3</v>
      </c>
      <c r="AS36" s="1">
        <v>2</v>
      </c>
      <c r="AT36" s="1">
        <v>3</v>
      </c>
      <c r="AU36" s="1">
        <v>3</v>
      </c>
      <c r="AV36" s="1">
        <v>3</v>
      </c>
      <c r="AW36" s="1">
        <v>1</v>
      </c>
      <c r="AX36" s="1">
        <v>1</v>
      </c>
      <c r="AY36" s="1">
        <v>1</v>
      </c>
      <c r="AZ36" s="1">
        <f t="shared" ref="AZ36:AZ38" si="5">PRODUCT(AK36:AY36)</f>
        <v>104976</v>
      </c>
    </row>
    <row r="37" spans="1:52" ht="16.5" x14ac:dyDescent="0.3">
      <c r="A37" s="1">
        <f t="shared" si="4"/>
        <v>369145</v>
      </c>
      <c r="B37" s="1">
        <f t="shared" si="0"/>
        <v>386640</v>
      </c>
      <c r="C37" s="1" t="s">
        <v>84</v>
      </c>
      <c r="D37" s="4" t="s">
        <v>0</v>
      </c>
      <c r="E37" s="2" t="s">
        <v>8</v>
      </c>
      <c r="F37" s="2" t="s">
        <v>2</v>
      </c>
      <c r="G37" s="2" t="s">
        <v>3</v>
      </c>
      <c r="H37" s="2" t="s">
        <v>4</v>
      </c>
      <c r="I37" s="4" t="s">
        <v>5</v>
      </c>
      <c r="J37" s="3" t="s">
        <v>15</v>
      </c>
      <c r="K37" s="4" t="s">
        <v>16</v>
      </c>
      <c r="L37" s="3" t="s">
        <v>17</v>
      </c>
      <c r="M37" s="2" t="s">
        <v>2</v>
      </c>
      <c r="N37" s="2" t="s">
        <v>3</v>
      </c>
      <c r="O37" s="3" t="s">
        <v>18</v>
      </c>
      <c r="P37" s="3" t="s">
        <v>9</v>
      </c>
      <c r="Q37" s="4" t="s">
        <v>17</v>
      </c>
      <c r="R37" s="4" t="s">
        <v>11</v>
      </c>
      <c r="S37" s="2" t="s">
        <v>3</v>
      </c>
      <c r="T37" s="2" t="s">
        <v>7</v>
      </c>
      <c r="U37" s="2" t="s">
        <v>4</v>
      </c>
      <c r="V37" s="2" t="s">
        <v>22</v>
      </c>
      <c r="W37" s="3" t="s">
        <v>23</v>
      </c>
      <c r="X37" s="3" t="s">
        <v>24</v>
      </c>
      <c r="Y37" s="2" t="s">
        <v>9</v>
      </c>
      <c r="Z37" s="2" t="s">
        <v>20</v>
      </c>
      <c r="AA37" s="2" t="s">
        <v>19</v>
      </c>
      <c r="AB37" s="2" t="s">
        <v>3</v>
      </c>
      <c r="AC37" s="2" t="s">
        <v>26</v>
      </c>
      <c r="AD37" s="2" t="s">
        <v>4</v>
      </c>
      <c r="AE37" s="2" t="s">
        <v>9</v>
      </c>
      <c r="AF37" s="2" t="s">
        <v>20</v>
      </c>
      <c r="AG37" s="2" t="s">
        <v>11</v>
      </c>
      <c r="AH37" s="2" t="s">
        <v>3</v>
      </c>
      <c r="AI37" s="2" t="s">
        <v>12</v>
      </c>
      <c r="AJ37" s="1"/>
      <c r="AK37" s="1">
        <v>2</v>
      </c>
      <c r="AL37" s="1">
        <v>2</v>
      </c>
      <c r="AM37" s="1">
        <v>3</v>
      </c>
      <c r="AN37" s="1">
        <v>2</v>
      </c>
      <c r="AO37" s="1">
        <v>3</v>
      </c>
      <c r="AP37" s="1">
        <v>3</v>
      </c>
      <c r="AQ37" s="1">
        <v>3</v>
      </c>
      <c r="AR37" s="1">
        <v>3</v>
      </c>
      <c r="AS37" s="1">
        <v>3</v>
      </c>
      <c r="AT37" s="1">
        <v>3</v>
      </c>
      <c r="AU37" s="1">
        <v>1</v>
      </c>
      <c r="AV37" s="1">
        <v>1</v>
      </c>
      <c r="AW37" s="1">
        <v>1</v>
      </c>
      <c r="AX37" s="1">
        <v>1</v>
      </c>
      <c r="AY37" s="1">
        <v>1</v>
      </c>
      <c r="AZ37" s="1">
        <f>PRODUCT(AK37:AY37)</f>
        <v>17496</v>
      </c>
    </row>
    <row r="38" spans="1:52" ht="15.75" x14ac:dyDescent="0.25">
      <c r="A38" s="1">
        <f t="shared" ref="A38:A42" si="6">B37+1</f>
        <v>386641</v>
      </c>
      <c r="B38" s="1">
        <f t="shared" ref="B38:B42" si="7">SUM(A38,AZ38)-1</f>
        <v>389556</v>
      </c>
      <c r="C38" s="1" t="s">
        <v>85</v>
      </c>
      <c r="D38" s="1" t="s">
        <v>0</v>
      </c>
      <c r="E38" s="1" t="s">
        <v>1</v>
      </c>
      <c r="F38" s="1" t="s">
        <v>2</v>
      </c>
      <c r="G38" s="1" t="s">
        <v>3</v>
      </c>
      <c r="H38" s="1" t="s">
        <v>4</v>
      </c>
      <c r="I38" s="1" t="s">
        <v>5</v>
      </c>
      <c r="J38" s="1" t="s">
        <v>15</v>
      </c>
      <c r="K38" s="1" t="s">
        <v>17</v>
      </c>
      <c r="L38" s="1" t="s">
        <v>2</v>
      </c>
      <c r="M38" s="1" t="s">
        <v>3</v>
      </c>
      <c r="N38" s="1" t="s">
        <v>18</v>
      </c>
      <c r="O38" s="1" t="s">
        <v>6</v>
      </c>
      <c r="P38" s="1" t="s">
        <v>7</v>
      </c>
      <c r="Q38" s="1" t="s">
        <v>27</v>
      </c>
      <c r="R38" s="1" t="s">
        <v>15</v>
      </c>
      <c r="S38" s="1" t="s">
        <v>13</v>
      </c>
      <c r="T38" s="1" t="s">
        <v>2</v>
      </c>
      <c r="U38" s="1" t="s">
        <v>3</v>
      </c>
      <c r="V38" s="1" t="s">
        <v>18</v>
      </c>
      <c r="W38" s="1" t="s">
        <v>9</v>
      </c>
      <c r="X38" s="1" t="s">
        <v>13</v>
      </c>
      <c r="Y38" s="1" t="s">
        <v>14</v>
      </c>
      <c r="Z38" s="1"/>
      <c r="AA38" s="1"/>
      <c r="AB38" s="1"/>
      <c r="AC38" s="1"/>
      <c r="AD38" s="1"/>
      <c r="AE38" s="1"/>
      <c r="AF38" s="1"/>
      <c r="AG38" s="1"/>
      <c r="AH38" s="1"/>
      <c r="AI38" s="1">
        <v>2</v>
      </c>
      <c r="AJ38" s="1">
        <v>2</v>
      </c>
      <c r="AK38" s="1">
        <v>3</v>
      </c>
      <c r="AL38" s="1">
        <v>2</v>
      </c>
      <c r="AM38" s="1">
        <v>3</v>
      </c>
      <c r="AN38" s="1">
        <v>3</v>
      </c>
      <c r="AO38" s="1">
        <v>2</v>
      </c>
      <c r="AP38" s="1">
        <v>3</v>
      </c>
      <c r="AQ38" s="1">
        <v>3</v>
      </c>
      <c r="AR38" s="1">
        <v>3</v>
      </c>
      <c r="AS38" s="1">
        <v>1</v>
      </c>
      <c r="AT38" s="1">
        <v>1</v>
      </c>
      <c r="AU38" s="1">
        <v>1</v>
      </c>
      <c r="AV38" s="1">
        <v>1</v>
      </c>
      <c r="AW38" s="1">
        <v>1</v>
      </c>
      <c r="AX38" s="1"/>
      <c r="AY38" s="1"/>
      <c r="AZ38" s="1">
        <f t="shared" si="5"/>
        <v>2916</v>
      </c>
    </row>
    <row r="39" spans="1:52" ht="15.75" x14ac:dyDescent="0.25">
      <c r="A39" s="1">
        <f t="shared" si="6"/>
        <v>389557</v>
      </c>
      <c r="B39" s="1">
        <f t="shared" si="7"/>
        <v>389772</v>
      </c>
      <c r="C39" s="1" t="s">
        <v>86</v>
      </c>
      <c r="D39" s="1" t="s">
        <v>0</v>
      </c>
      <c r="E39" s="1" t="s">
        <v>1</v>
      </c>
      <c r="F39" s="1" t="s">
        <v>2</v>
      </c>
      <c r="G39" s="1" t="s">
        <v>3</v>
      </c>
      <c r="H39" s="1" t="s">
        <v>4</v>
      </c>
      <c r="I39" s="1" t="s">
        <v>5</v>
      </c>
      <c r="J39" s="1" t="s">
        <v>15</v>
      </c>
      <c r="K39" s="1" t="s">
        <v>17</v>
      </c>
      <c r="L39" s="1" t="s">
        <v>2</v>
      </c>
      <c r="M39" s="1" t="s">
        <v>3</v>
      </c>
      <c r="N39" s="1" t="s">
        <v>29</v>
      </c>
      <c r="O39" s="1" t="s">
        <v>18</v>
      </c>
      <c r="P39" s="1" t="s">
        <v>6</v>
      </c>
      <c r="Q39" s="1" t="s">
        <v>12</v>
      </c>
      <c r="R39" s="1" t="s">
        <v>27</v>
      </c>
      <c r="S39" s="1" t="s">
        <v>6</v>
      </c>
      <c r="T39" s="1" t="s">
        <v>12</v>
      </c>
      <c r="U39" s="1" t="s">
        <v>27</v>
      </c>
      <c r="V39" s="1" t="s">
        <v>6</v>
      </c>
      <c r="W39" s="1" t="s">
        <v>7</v>
      </c>
      <c r="X39" s="1" t="s">
        <v>27</v>
      </c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>
        <v>2</v>
      </c>
      <c r="AL39" s="1">
        <v>2</v>
      </c>
      <c r="AM39" s="1">
        <v>3</v>
      </c>
      <c r="AN39" s="1">
        <v>2</v>
      </c>
      <c r="AO39" s="1">
        <v>3</v>
      </c>
      <c r="AP39" s="1">
        <v>3</v>
      </c>
      <c r="AQ39" s="1">
        <v>1</v>
      </c>
      <c r="AR39" s="1">
        <v>1</v>
      </c>
      <c r="AS39" s="1">
        <v>1</v>
      </c>
      <c r="AT39" s="1">
        <v>1</v>
      </c>
      <c r="AU39" s="1">
        <v>1</v>
      </c>
      <c r="AV39" s="1">
        <v>1</v>
      </c>
      <c r="AW39" s="1">
        <v>1</v>
      </c>
      <c r="AX39" s="1">
        <v>1</v>
      </c>
      <c r="AY39" s="1">
        <v>1</v>
      </c>
      <c r="AZ39" s="1">
        <f>PRODUCT(AK39:AY39)</f>
        <v>216</v>
      </c>
    </row>
    <row r="40" spans="1:52" ht="15.75" x14ac:dyDescent="0.25">
      <c r="A40" s="1">
        <f t="shared" si="6"/>
        <v>389773</v>
      </c>
      <c r="B40" s="1">
        <f t="shared" si="7"/>
        <v>459756</v>
      </c>
      <c r="C40" s="1" t="s">
        <v>87</v>
      </c>
      <c r="D40" s="1" t="s">
        <v>0</v>
      </c>
      <c r="E40" s="1" t="s">
        <v>1</v>
      </c>
      <c r="F40" s="1" t="s">
        <v>2</v>
      </c>
      <c r="G40" s="1" t="s">
        <v>3</v>
      </c>
      <c r="H40" s="1" t="s">
        <v>4</v>
      </c>
      <c r="I40" s="1" t="s">
        <v>5</v>
      </c>
      <c r="J40" s="1" t="s">
        <v>15</v>
      </c>
      <c r="K40" s="1" t="s">
        <v>17</v>
      </c>
      <c r="L40" s="1" t="s">
        <v>2</v>
      </c>
      <c r="M40" s="1" t="s">
        <v>3</v>
      </c>
      <c r="N40" s="1" t="s">
        <v>29</v>
      </c>
      <c r="O40" s="1" t="s">
        <v>18</v>
      </c>
      <c r="P40" s="1" t="s">
        <v>6</v>
      </c>
      <c r="Q40" s="1" t="s">
        <v>30</v>
      </c>
      <c r="R40" s="1" t="s">
        <v>27</v>
      </c>
      <c r="S40" s="1" t="s">
        <v>9</v>
      </c>
      <c r="T40" s="1" t="s">
        <v>20</v>
      </c>
      <c r="U40" s="1" t="s">
        <v>11</v>
      </c>
      <c r="V40" s="1" t="s">
        <v>3</v>
      </c>
      <c r="W40" s="1" t="s">
        <v>12</v>
      </c>
      <c r="X40" s="1" t="s">
        <v>9</v>
      </c>
      <c r="Y40" s="1" t="s">
        <v>13</v>
      </c>
      <c r="Z40" s="1" t="s">
        <v>11</v>
      </c>
      <c r="AA40" s="1" t="s">
        <v>3</v>
      </c>
      <c r="AB40" s="1" t="s">
        <v>25</v>
      </c>
      <c r="AC40" s="1" t="s">
        <v>27</v>
      </c>
      <c r="AD40" s="1"/>
      <c r="AE40" s="1"/>
      <c r="AF40" s="1"/>
      <c r="AG40" s="1"/>
      <c r="AH40" s="1"/>
      <c r="AI40" s="1"/>
      <c r="AJ40" s="1"/>
      <c r="AK40" s="1">
        <v>2</v>
      </c>
      <c r="AL40" s="1">
        <v>2</v>
      </c>
      <c r="AM40" s="1">
        <v>3</v>
      </c>
      <c r="AN40" s="1">
        <v>2</v>
      </c>
      <c r="AO40" s="1">
        <v>3</v>
      </c>
      <c r="AP40" s="1">
        <v>3</v>
      </c>
      <c r="AQ40" s="1">
        <v>2</v>
      </c>
      <c r="AR40" s="1">
        <v>3</v>
      </c>
      <c r="AS40" s="1">
        <v>3</v>
      </c>
      <c r="AT40" s="1">
        <v>2</v>
      </c>
      <c r="AU40" s="1">
        <v>3</v>
      </c>
      <c r="AV40" s="1">
        <v>3</v>
      </c>
      <c r="AW40" s="1">
        <v>1</v>
      </c>
      <c r="AX40" s="1">
        <v>1</v>
      </c>
      <c r="AY40" s="1">
        <v>1</v>
      </c>
      <c r="AZ40" s="1">
        <f t="shared" ref="AZ40:AZ42" si="8">PRODUCT(AK40:AY40)</f>
        <v>69984</v>
      </c>
    </row>
    <row r="41" spans="1:52" ht="15.75" x14ac:dyDescent="0.25">
      <c r="A41" s="1">
        <f t="shared" si="6"/>
        <v>459757</v>
      </c>
      <c r="B41" s="1">
        <f t="shared" si="7"/>
        <v>529740</v>
      </c>
      <c r="C41" s="1" t="s">
        <v>88</v>
      </c>
      <c r="D41" s="1" t="s">
        <v>0</v>
      </c>
      <c r="E41" s="1" t="s">
        <v>1</v>
      </c>
      <c r="F41" s="1" t="s">
        <v>2</v>
      </c>
      <c r="G41" s="1" t="s">
        <v>3</v>
      </c>
      <c r="H41" s="1" t="s">
        <v>4</v>
      </c>
      <c r="I41" s="1" t="s">
        <v>5</v>
      </c>
      <c r="J41" s="1" t="s">
        <v>15</v>
      </c>
      <c r="K41" s="1" t="s">
        <v>17</v>
      </c>
      <c r="L41" s="1" t="s">
        <v>2</v>
      </c>
      <c r="M41" s="1" t="s">
        <v>3</v>
      </c>
      <c r="N41" s="1" t="s">
        <v>29</v>
      </c>
      <c r="O41" s="1" t="s">
        <v>18</v>
      </c>
      <c r="P41" s="1" t="s">
        <v>6</v>
      </c>
      <c r="Q41" s="1" t="s">
        <v>30</v>
      </c>
      <c r="R41" s="1" t="s">
        <v>27</v>
      </c>
      <c r="S41" s="1" t="s">
        <v>9</v>
      </c>
      <c r="T41" s="1" t="s">
        <v>20</v>
      </c>
      <c r="U41" s="1" t="s">
        <v>11</v>
      </c>
      <c r="V41" s="1" t="s">
        <v>3</v>
      </c>
      <c r="W41" s="1" t="s">
        <v>12</v>
      </c>
      <c r="X41" s="1" t="s">
        <v>32</v>
      </c>
      <c r="Y41" s="1" t="s">
        <v>13</v>
      </c>
      <c r="Z41" s="1" t="s">
        <v>11</v>
      </c>
      <c r="AA41" s="1" t="s">
        <v>3</v>
      </c>
      <c r="AB41" s="1" t="s">
        <v>33</v>
      </c>
      <c r="AC41" s="1" t="s">
        <v>27</v>
      </c>
      <c r="AD41" s="1"/>
      <c r="AE41" s="1"/>
      <c r="AF41" s="1"/>
      <c r="AG41" s="1"/>
      <c r="AH41" s="1"/>
      <c r="AI41" s="1"/>
      <c r="AJ41" s="1"/>
      <c r="AK41" s="1">
        <v>2</v>
      </c>
      <c r="AL41" s="1">
        <v>2</v>
      </c>
      <c r="AM41" s="1">
        <v>3</v>
      </c>
      <c r="AN41" s="1">
        <v>2</v>
      </c>
      <c r="AO41" s="1">
        <v>3</v>
      </c>
      <c r="AP41" s="1">
        <v>3</v>
      </c>
      <c r="AQ41" s="1">
        <v>2</v>
      </c>
      <c r="AR41" s="1">
        <v>3</v>
      </c>
      <c r="AS41" s="1">
        <v>3</v>
      </c>
      <c r="AT41" s="1">
        <v>2</v>
      </c>
      <c r="AU41" s="1">
        <v>3</v>
      </c>
      <c r="AV41" s="1">
        <v>3</v>
      </c>
      <c r="AW41" s="1">
        <v>1</v>
      </c>
      <c r="AX41" s="1">
        <v>1</v>
      </c>
      <c r="AY41" s="1">
        <v>1</v>
      </c>
      <c r="AZ41" s="1">
        <f t="shared" si="8"/>
        <v>69984</v>
      </c>
    </row>
    <row r="42" spans="1:52" ht="16.5" x14ac:dyDescent="0.3">
      <c r="A42" s="1">
        <f t="shared" si="6"/>
        <v>529741</v>
      </c>
      <c r="B42" s="1">
        <f t="shared" si="7"/>
        <v>739692</v>
      </c>
      <c r="C42" s="1" t="s">
        <v>89</v>
      </c>
      <c r="D42" s="4" t="s">
        <v>0</v>
      </c>
      <c r="E42" s="2" t="s">
        <v>8</v>
      </c>
      <c r="F42" s="2" t="s">
        <v>2</v>
      </c>
      <c r="G42" s="2" t="s">
        <v>3</v>
      </c>
      <c r="H42" s="2" t="s">
        <v>4</v>
      </c>
      <c r="I42" s="4" t="s">
        <v>5</v>
      </c>
      <c r="J42" s="3" t="s">
        <v>15</v>
      </c>
      <c r="K42" s="4" t="s">
        <v>16</v>
      </c>
      <c r="L42" s="3" t="s">
        <v>17</v>
      </c>
      <c r="M42" s="2" t="s">
        <v>2</v>
      </c>
      <c r="N42" s="2" t="s">
        <v>3</v>
      </c>
      <c r="O42" s="3" t="s">
        <v>18</v>
      </c>
      <c r="P42" s="3" t="s">
        <v>9</v>
      </c>
      <c r="Q42" s="4" t="s">
        <v>17</v>
      </c>
      <c r="R42" s="4" t="s">
        <v>11</v>
      </c>
      <c r="S42" s="2" t="s">
        <v>3</v>
      </c>
      <c r="T42" s="2" t="s">
        <v>7</v>
      </c>
      <c r="U42" s="2" t="s">
        <v>4</v>
      </c>
      <c r="V42" s="2" t="s">
        <v>9</v>
      </c>
      <c r="W42" s="2" t="s">
        <v>13</v>
      </c>
      <c r="X42" s="2" t="s">
        <v>14</v>
      </c>
      <c r="Y42" s="2" t="s">
        <v>9</v>
      </c>
      <c r="Z42" s="2" t="s">
        <v>20</v>
      </c>
      <c r="AA42" s="2" t="s">
        <v>11</v>
      </c>
      <c r="AB42" s="2" t="s">
        <v>3</v>
      </c>
      <c r="AC42" s="2" t="s">
        <v>12</v>
      </c>
      <c r="AD42" s="1"/>
      <c r="AE42" s="1"/>
      <c r="AF42" s="1"/>
      <c r="AG42" s="1"/>
      <c r="AH42" s="1"/>
      <c r="AI42" s="1"/>
      <c r="AJ42" s="1"/>
      <c r="AK42" s="1">
        <v>2</v>
      </c>
      <c r="AL42" s="1">
        <v>2</v>
      </c>
      <c r="AM42" s="1">
        <v>3</v>
      </c>
      <c r="AN42" s="1">
        <v>2</v>
      </c>
      <c r="AO42" s="1">
        <v>3</v>
      </c>
      <c r="AP42" s="1">
        <v>3</v>
      </c>
      <c r="AQ42" s="1">
        <v>3</v>
      </c>
      <c r="AR42" s="1">
        <v>3</v>
      </c>
      <c r="AS42" s="1">
        <v>3</v>
      </c>
      <c r="AT42" s="1">
        <v>3</v>
      </c>
      <c r="AU42" s="1">
        <v>3</v>
      </c>
      <c r="AV42" s="1">
        <v>4</v>
      </c>
      <c r="AW42" s="1">
        <v>1</v>
      </c>
      <c r="AX42" s="1">
        <v>1</v>
      </c>
      <c r="AY42" s="1">
        <v>1</v>
      </c>
      <c r="AZ42" s="1">
        <f t="shared" si="8"/>
        <v>209952</v>
      </c>
    </row>
  </sheetData>
  <mergeCells count="6">
    <mergeCell ref="AW1:AY1"/>
    <mergeCell ref="D1:W1"/>
    <mergeCell ref="AK1:AM1"/>
    <mergeCell ref="AN1:AP1"/>
    <mergeCell ref="AQ1:AS1"/>
    <mergeCell ref="AT1:A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</dc:creator>
  <cp:lastModifiedBy>United</cp:lastModifiedBy>
  <dcterms:created xsi:type="dcterms:W3CDTF">2026-03-20T22:11:07Z</dcterms:created>
  <dcterms:modified xsi:type="dcterms:W3CDTF">2026-03-21T10:30:57Z</dcterms:modified>
</cp:coreProperties>
</file>